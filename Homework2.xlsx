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wn\code\savvycoders\"/>
    </mc:Choice>
  </mc:AlternateContent>
  <xr:revisionPtr revIDLastSave="0" documentId="13_ncr:1_{9C73D649-5106-4DDE-9BFA-AC94094D8A24}" xr6:coauthVersionLast="47" xr6:coauthVersionMax="47" xr10:uidLastSave="{00000000-0000-0000-0000-000000000000}"/>
  <bookViews>
    <workbookView xWindow="-108" yWindow="-108" windowWidth="23256" windowHeight="12456" xr2:uid="{3514C9FF-BAD0-464C-9E7C-C86BE13C2EF9}"/>
  </bookViews>
  <sheets>
    <sheet name="Roster" sheetId="1" r:id="rId1"/>
    <sheet name="Credit Card Debt" sheetId="2" r:id="rId2"/>
    <sheet name="Expenses" sheetId="3" r:id="rId3"/>
    <sheet name="Payment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F8" i="2"/>
  <c r="F7" i="2"/>
  <c r="F6" i="2"/>
  <c r="F5" i="2"/>
  <c r="F4" i="2"/>
  <c r="E8" i="2"/>
  <c r="E7" i="2"/>
  <c r="E6" i="2"/>
  <c r="E5" i="2"/>
  <c r="D17" i="1"/>
  <c r="D19" i="1"/>
  <c r="D20" i="1"/>
  <c r="C17" i="1"/>
  <c r="C18" i="1"/>
  <c r="C19" i="1"/>
  <c r="C20" i="1"/>
  <c r="D16" i="1"/>
  <c r="C16" i="1"/>
</calcChain>
</file>

<file path=xl/sharedStrings.xml><?xml version="1.0" encoding="utf-8"?>
<sst xmlns="http://schemas.openxmlformats.org/spreadsheetml/2006/main" count="1311" uniqueCount="173">
  <si>
    <t>Student Name</t>
  </si>
  <si>
    <t>Age</t>
  </si>
  <si>
    <t>Grade</t>
  </si>
  <si>
    <t>Class</t>
  </si>
  <si>
    <t>Sarah Ashworth</t>
  </si>
  <si>
    <t>Amanda Johnson</t>
  </si>
  <si>
    <t>David Cline</t>
  </si>
  <si>
    <t>Matthew Roberts</t>
  </si>
  <si>
    <t>Sierra Chadwick</t>
  </si>
  <si>
    <t>Ronnie Dangerfield</t>
  </si>
  <si>
    <t>Thomas Cruise</t>
  </si>
  <si>
    <t>Bradley Swickerwrath</t>
  </si>
  <si>
    <t>Gracie Smith</t>
  </si>
  <si>
    <t>John McDonald</t>
  </si>
  <si>
    <t>Raymond James</t>
  </si>
  <si>
    <t>Social Studies</t>
  </si>
  <si>
    <t>Semester Grades</t>
  </si>
  <si>
    <t>MIN</t>
  </si>
  <si>
    <t>MAX</t>
  </si>
  <si>
    <t>AVG</t>
  </si>
  <si>
    <t>MODE</t>
  </si>
  <si>
    <t>MEDIAN</t>
  </si>
  <si>
    <t>COUNT</t>
  </si>
  <si>
    <t>Credit Card</t>
  </si>
  <si>
    <t>Balance</t>
  </si>
  <si>
    <t>Interest Rate</t>
  </si>
  <si>
    <t>Months</t>
  </si>
  <si>
    <t>Interest Paid</t>
  </si>
  <si>
    <t>Total Loan Amount</t>
  </si>
  <si>
    <t>Monthly Payment</t>
  </si>
  <si>
    <t>Discover</t>
  </si>
  <si>
    <t>Capital One</t>
  </si>
  <si>
    <t>Citi Card</t>
  </si>
  <si>
    <t>Target</t>
  </si>
  <si>
    <t>Wal-Mart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</si>
  <si>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</si>
  <si>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</si>
  <si>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</si>
  <si>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</si>
  <si>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</si>
  <si>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</si>
  <si>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</si>
  <si>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</si>
  <si>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</si>
  <si>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XY Solutions</t>
  </si>
  <si>
    <t>S77782</t>
  </si>
  <si>
    <t>Opening Balance</t>
  </si>
  <si>
    <t>A</t>
  </si>
  <si>
    <t>B1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</si>
  <si>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</si>
  <si>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</si>
  <si>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</si>
  <si>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</si>
  <si>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</si>
  <si>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</si>
  <si>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</si>
  <si>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</si>
  <si>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</si>
  <si>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</si>
  <si>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</si>
  <si>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</si>
  <si>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</si>
  <si>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</si>
  <si>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</si>
  <si>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</si>
  <si>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</si>
  <si>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B2</t>
  </si>
  <si>
    <t>IAS Accountants</t>
  </si>
  <si>
    <t>Invoice</t>
  </si>
  <si>
    <t>Bookkeeping</t>
  </si>
  <si>
    <t>IS-305</t>
  </si>
  <si>
    <t>Interflora</t>
  </si>
  <si>
    <t>Cash</t>
  </si>
  <si>
    <t>Flowers</t>
  </si>
  <si>
    <t>PC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</si>
  <si>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</si>
  <si>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</si>
  <si>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</si>
  <si>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</si>
  <si>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</si>
  <si>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</si>
  <si>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</si>
  <si>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</si>
  <si>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</si>
  <si>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</si>
  <si>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</si>
  <si>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</si>
  <si>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</si>
  <si>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</si>
  <si>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</si>
  <si>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</si>
  <si>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</si>
  <si>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</si>
  <si>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</si>
  <si>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</si>
  <si>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</si>
  <si>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</si>
  <si>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</si>
  <si>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</si>
  <si>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</si>
  <si>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</si>
  <si>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</si>
  <si>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</si>
  <si>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</si>
  <si>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</si>
  <si>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</si>
  <si>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</si>
  <si>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</si>
  <si>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</si>
  <si>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</si>
  <si>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</si>
  <si>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</si>
  <si>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</si>
  <si>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</si>
  <si>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</si>
  <si>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</si>
  <si>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</si>
  <si>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</si>
  <si>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</si>
  <si>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</si>
  <si>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</si>
  <si>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</si>
  <si>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</si>
  <si>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</si>
  <si>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</si>
  <si>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</si>
  <si>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</si>
  <si>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</si>
  <si>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</si>
  <si>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</si>
  <si>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</si>
  <si>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</si>
  <si>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</si>
  <si>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</si>
  <si>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</si>
  <si>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</si>
  <si>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</si>
  <si>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</si>
  <si>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</si>
  <si>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</si>
  <si>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</si>
  <si>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</si>
  <si>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</si>
  <si>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</si>
  <si>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</si>
  <si>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</si>
  <si>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</si>
  <si>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</si>
  <si>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</si>
  <si>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</si>
  <si>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</si>
  <si>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</si>
  <si>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</si>
  <si>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</si>
  <si>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</si>
  <si>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</si>
  <si>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</si>
  <si>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</si>
  <si>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</si>
  <si>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</si>
  <si>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</si>
  <si>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</si>
  <si>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</si>
  <si>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</si>
  <si>
    <t>Expenses</t>
  </si>
  <si>
    <t>Document Date</t>
  </si>
  <si>
    <t>Supplier</t>
  </si>
  <si>
    <t>Reference</t>
  </si>
  <si>
    <t>Description</t>
  </si>
  <si>
    <t>Tax Inclusive Amount</t>
  </si>
  <si>
    <t>Bank Code</t>
  </si>
  <si>
    <t>Account Code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</si>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</sst>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 * #,##0.00_ ;_ * \-#,##0.00_ ;_ * &quot;-&quot;??_ ;_ @_ "/>
    <numFmt numFmtId="170" formatCode="mmm\-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0"/>
      <name val="Arial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80808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71"/>
        <bgColor indexed="64"/>
      </patternFill>
    </fill>
    <fill>
      <patternFill patternType="solid">
        <fgColor rgb="FF81C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 tint="0.14993743705557422"/>
      </left>
      <right style="medium">
        <color theme="1" tint="0.14993743705557422"/>
      </right>
      <top style="medium">
        <color theme="1" tint="0.14993743705557422"/>
      </top>
      <bottom style="medium">
        <color theme="1" tint="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4.9989318521683403E-2"/>
      </left>
      <right style="medium">
        <color theme="2" tint="-4.9989318521683403E-2"/>
      </right>
      <top style="medium">
        <color theme="2" tint="-4.9989318521683403E-2"/>
      </top>
      <bottom style="medium">
        <color theme="2" tint="-4.9989318521683403E-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8" fillId="5" borderId="1" applyNumberFormat="0" applyAlignment="0" applyProtection="0"/>
    <xf numFmtId="0" fontId="9" fillId="6" borderId="2" applyNumberFormat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0" fillId="7" borderId="4">
      <alignment horizontal="left"/>
    </xf>
    <xf numFmtId="169" fontId="1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4" borderId="0" xfId="0" applyFont="1" applyFill="1"/>
    <xf numFmtId="0" fontId="5" fillId="0" borderId="0" xfId="0" applyFont="1"/>
    <xf numFmtId="0" fontId="3" fillId="3" borderId="0" xfId="0" applyFont="1" applyFill="1"/>
    <xf numFmtId="0" fontId="6" fillId="0" borderId="0" xfId="0" applyFont="1"/>
    <xf numFmtId="9" fontId="0" fillId="0" borderId="0" xfId="0" applyNumberFormat="1"/>
    <xf numFmtId="9" fontId="0" fillId="0" borderId="0" xfId="1" applyFont="1"/>
    <xf numFmtId="0" fontId="7" fillId="0" borderId="0" xfId="2"/>
    <xf numFmtId="0" fontId="13" fillId="0" borderId="0" xfId="2" applyFont="1" applyAlignment="1">
      <alignment horizontal="left"/>
    </xf>
    <xf numFmtId="0" fontId="12" fillId="0" borderId="0" xfId="9" applyNumberFormat="1" applyFont="1"/>
    <xf numFmtId="0" fontId="12" fillId="0" borderId="0" xfId="2" applyFont="1" applyAlignment="1">
      <alignment horizontal="center"/>
    </xf>
    <xf numFmtId="0" fontId="14" fillId="8" borderId="3" xfId="2" applyFont="1" applyFill="1" applyBorder="1" applyAlignment="1">
      <alignment horizontal="left" wrapText="1"/>
    </xf>
    <xf numFmtId="0" fontId="14" fillId="8" borderId="3" xfId="2" applyFont="1" applyFill="1" applyBorder="1" applyAlignment="1">
      <alignment wrapText="1"/>
    </xf>
    <xf numFmtId="0" fontId="14" fillId="8" borderId="3" xfId="9" applyNumberFormat="1" applyFont="1" applyFill="1" applyBorder="1" applyAlignment="1">
      <alignment horizontal="center" wrapText="1"/>
    </xf>
    <xf numFmtId="0" fontId="14" fillId="8" borderId="3" xfId="2" applyFont="1" applyFill="1" applyBorder="1" applyAlignment="1">
      <alignment horizontal="center" wrapText="1"/>
    </xf>
    <xf numFmtId="14" fontId="15" fillId="0" borderId="0" xfId="2" applyNumberFormat="1" applyFont="1" applyAlignment="1">
      <alignment horizontal="left"/>
    </xf>
    <xf numFmtId="0" fontId="15" fillId="0" borderId="0" xfId="2" applyFont="1"/>
    <xf numFmtId="169" fontId="15" fillId="0" borderId="0" xfId="9" applyFont="1" applyFill="1" applyBorder="1"/>
    <xf numFmtId="0" fontId="15" fillId="0" borderId="0" xfId="2" applyFont="1" applyAlignment="1">
      <alignment horizontal="center"/>
    </xf>
    <xf numFmtId="14" fontId="15" fillId="0" borderId="0" xfId="2" applyNumberFormat="1" applyFont="1" applyAlignment="1">
      <alignment horizontal="center"/>
    </xf>
    <xf numFmtId="0" fontId="14" fillId="8" borderId="5" xfId="2" applyFont="1" applyFill="1" applyBorder="1" applyAlignment="1">
      <alignment horizontal="left" wrapText="1"/>
    </xf>
    <xf numFmtId="0" fontId="14" fillId="8" borderId="5" xfId="2" applyFont="1" applyFill="1" applyBorder="1" applyAlignment="1">
      <alignment wrapText="1"/>
    </xf>
    <xf numFmtId="0" fontId="14" fillId="8" borderId="5" xfId="9" applyNumberFormat="1" applyFont="1" applyFill="1" applyBorder="1" applyAlignment="1">
      <alignment horizontal="center" wrapText="1"/>
    </xf>
    <xf numFmtId="0" fontId="14" fillId="8" borderId="5" xfId="2" applyFont="1" applyFill="1" applyBorder="1" applyAlignment="1">
      <alignment horizontal="center" wrapText="1"/>
    </xf>
  </cellXfs>
  <cellStyles count="10">
    <cellStyle name="Comma 2" xfId="6" xr:uid="{5586B310-026A-465B-9B59-FB27AE5F6779}"/>
    <cellStyle name="Comma 3" xfId="9" xr:uid="{27C1E6CA-93B0-4453-B8D7-47312E9EE139}"/>
    <cellStyle name="Input 2" xfId="3" xr:uid="{4536C52D-855C-44CD-A807-8142A565CB09}"/>
    <cellStyle name="Normal" xfId="0" builtinId="0"/>
    <cellStyle name="Normal 2" xfId="5" xr:uid="{9B303140-4DDA-4B39-A8DC-F2826B5D28AB}"/>
    <cellStyle name="Normal 3" xfId="2" xr:uid="{9527864E-9203-41CD-A6F8-27A2901BE3BC}"/>
    <cellStyle name="Output 2" xfId="4" xr:uid="{E525605F-9CD7-456A-ABBF-30B2781579F3}"/>
    <cellStyle name="Percent" xfId="1" builtinId="5"/>
    <cellStyle name="Percent 2" xfId="7" xr:uid="{1592976E-DA99-4637-8D9D-AF8F181AA154}"/>
    <cellStyle name="Style 1" xfId="8" xr:uid="{3E5B89D4-0AEF-40B7-A377-A03670C00D23}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Card Debt'!$B$3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Debt'!$B$4:$B$8</c:f>
              <c:numCache>
                <c:formatCode>General</c:formatCode>
                <c:ptCount val="5"/>
                <c:pt idx="0">
                  <c:v>2000</c:v>
                </c:pt>
                <c:pt idx="1">
                  <c:v>450</c:v>
                </c:pt>
                <c:pt idx="2">
                  <c:v>975</c:v>
                </c:pt>
                <c:pt idx="3">
                  <c:v>1500</c:v>
                </c:pt>
                <c:pt idx="4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B-4E12-94AA-28564F9E7928}"/>
            </c:ext>
          </c:extLst>
        </c:ser>
        <c:ser>
          <c:idx val="1"/>
          <c:order val="1"/>
          <c:tx>
            <c:strRef>
              <c:f>'Credit Card Debt'!$C$3</c:f>
              <c:strCache>
                <c:ptCount val="1"/>
                <c:pt idx="0">
                  <c:v>Interest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Debt'!$C$4:$C$8</c:f>
              <c:numCache>
                <c:formatCode>0%</c:formatCode>
                <c:ptCount val="5"/>
                <c:pt idx="0">
                  <c:v>0.21</c:v>
                </c:pt>
                <c:pt idx="1">
                  <c:v>0.25</c:v>
                </c:pt>
                <c:pt idx="2">
                  <c:v>0.27</c:v>
                </c:pt>
                <c:pt idx="3">
                  <c:v>0.15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B-4E12-94AA-28564F9E7928}"/>
            </c:ext>
          </c:extLst>
        </c:ser>
        <c:ser>
          <c:idx val="2"/>
          <c:order val="2"/>
          <c:tx>
            <c:strRef>
              <c:f>'Credit Card Debt'!$D$3</c:f>
              <c:strCache>
                <c:ptCount val="1"/>
                <c:pt idx="0">
                  <c:v>Months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Debt'!$D$4:$D$8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B-4E12-94AA-28564F9E7928}"/>
            </c:ext>
          </c:extLst>
        </c:ser>
        <c:ser>
          <c:idx val="3"/>
          <c:order val="3"/>
          <c:tx>
            <c:strRef>
              <c:f>'Credit Card Debt'!$E$3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Debt'!$E$4:$E$8</c:f>
              <c:numCache>
                <c:formatCode>General</c:formatCode>
                <c:ptCount val="5"/>
                <c:pt idx="0">
                  <c:v>420</c:v>
                </c:pt>
                <c:pt idx="1">
                  <c:v>112.5</c:v>
                </c:pt>
                <c:pt idx="2">
                  <c:v>263.25</c:v>
                </c:pt>
                <c:pt idx="3">
                  <c:v>225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B-4E12-94AA-28564F9E7928}"/>
            </c:ext>
          </c:extLst>
        </c:ser>
        <c:ser>
          <c:idx val="4"/>
          <c:order val="4"/>
          <c:tx>
            <c:strRef>
              <c:f>'Credit Card Debt'!$F$3</c:f>
              <c:strCache>
                <c:ptCount val="1"/>
                <c:pt idx="0">
                  <c:v>Total Loan Amount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Debt'!$F$4:$F$8</c:f>
              <c:numCache>
                <c:formatCode>General</c:formatCode>
                <c:ptCount val="5"/>
                <c:pt idx="0">
                  <c:v>2420</c:v>
                </c:pt>
                <c:pt idx="1">
                  <c:v>562.5</c:v>
                </c:pt>
                <c:pt idx="2">
                  <c:v>1238.25</c:v>
                </c:pt>
                <c:pt idx="3">
                  <c:v>1725</c:v>
                </c:pt>
                <c:pt idx="4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B-4E12-94AA-28564F9E7928}"/>
            </c:ext>
          </c:extLst>
        </c:ser>
        <c:ser>
          <c:idx val="5"/>
          <c:order val="5"/>
          <c:tx>
            <c:strRef>
              <c:f>'Credit Card Debt'!$G$3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807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1B-4E12-94AA-28564F9E7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524768"/>
        <c:axId val="1382510848"/>
      </c:barChart>
      <c:catAx>
        <c:axId val="138252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10848"/>
        <c:crosses val="autoZero"/>
        <c:auto val="1"/>
        <c:lblAlgn val="ctr"/>
        <c:lblOffset val="100"/>
        <c:noMultiLvlLbl val="0"/>
      </c:catAx>
      <c:valAx>
        <c:axId val="13825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2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572955</xdr:colOff>
      <xdr:row>8</xdr:row>
      <xdr:rowOff>38972</xdr:rowOff>
    </xdr:from>
    <xdr:to>
      <xdr:col>13</xdr:col>
      <xdr:colOff>491520</xdr:colOff>
      <xdr:row>23</xdr:row>
      <xdr:rowOff>77363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7415E-40BE-A4E5-74E5-7B844CED5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C28120-B774-42F7-BA13-E3AE58852875}" name="Table2" displayName="Table2" ref="B3:E14" totalsRowShown="0" headerRowDxfId="13">
  <autoFilter ref="B3:E14" xr:uid="{FDC28120-B774-42F7-BA13-E3AE58852875}"/>
  <tableColumns count="4">
    <tableColumn id="1" xr3:uid="{212B7CEC-3E63-4782-B8C1-3146267E6661}" name="Student Name" dataDxfId="17"/>
    <tableColumn id="2" xr3:uid="{BB76AC24-34BD-4714-8EE2-D6E99D1CCA07}" name="Age" dataDxfId="16"/>
    <tableColumn id="3" xr3:uid="{055CD3A1-BC6C-480A-ADAD-C5D7D809E73B}" name="Grade" dataDxfId="15"/>
    <tableColumn id="4" xr3:uid="{EFA6333D-E1D2-4732-8D4B-957B1FD28027}" name="Clas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FE8056-C8AD-4843-9DE2-85DE2FAF3557}" name="Table4" displayName="Table4" ref="A2:I211" totalsRowShown="0" headerRowDxfId="0" dataDxfId="1" headerRowBorderDxfId="11" tableBorderDxfId="12" headerRowCellStyle="Normal 3" dataCellStyle="Normal 3">
  <autoFilter ref="A2:I211" xr:uid="{E8FE8056-C8AD-4843-9DE2-85DE2FAF3557}"/>
  <tableColumns count="9">
    <tableColumn id="1" xr3:uid="{C137CA5C-C853-495F-A60C-4EBDAAD9B842}" name="Column1" dataDxfId="10" dataCellStyle="Normal 3"/>
    <tableColumn id="2" xr3:uid="{26EDD0E9-03E4-4054-A91B-21D95DC7072A}" name="Column2" dataDxfId="9" dataCellStyle="Normal 3"/>
    <tableColumn id="3" xr3:uid="{DD1B5672-19E9-45AE-9252-1E7F7D887E75}" name="Column3" dataDxfId="8" dataCellStyle="Normal 3"/>
    <tableColumn id="4" xr3:uid="{E7359FE2-8910-450B-AE32-26A1C608C52B}" name="Column4" dataDxfId="7" dataCellStyle="Normal 3"/>
    <tableColumn id="5" xr3:uid="{06CEDC8C-42ED-4FFF-82EC-6044DDCA5374}" name="Column5" dataDxfId="6" dataCellStyle="Comma 3"/>
    <tableColumn id="6" xr3:uid="{CB921177-2827-445E-812A-561708019990}" name="Column6" dataDxfId="5" dataCellStyle="Normal 3"/>
    <tableColumn id="7" xr3:uid="{829A1BE5-DCB1-4758-8BD8-D9147E246F2D}" name="Column7" dataDxfId="4" dataCellStyle="Normal 3"/>
    <tableColumn id="8" xr3:uid="{110C6B06-23FD-400C-BA4D-E53249D4FD9D}" name="Column8" dataDxfId="3" dataCellStyle="Normal 3"/>
    <tableColumn id="9" xr3:uid="{2593AD45-BB05-4755-A0A8-9FB768FB8179}" name="Column9" dataDxfId="2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1D05-C480-4E3D-AC9E-62310F91CEC5}">
  <dimension ref="A1:G22"/>
  <sheetViews>
    <sheetView tabSelected="1" topLeftCell="A6" zoomScaleNormal="100" workbookViewId="0">
      <selection activeCell="I13" sqref="I13"/>
    </sheetView>
  </sheetViews>
  <sheetFormatPr defaultRowHeight="14.4" x14ac:dyDescent="0.3"/>
  <cols>
    <col min="1" max="1" width="19.21875" customWidth="1"/>
    <col min="2" max="2" width="18.77734375" customWidth="1"/>
    <col min="4" max="4" width="9.33203125" customWidth="1"/>
    <col min="5" max="5" width="15.88671875" customWidth="1"/>
  </cols>
  <sheetData>
    <row r="1" spans="1:7" ht="18" x14ac:dyDescent="0.35">
      <c r="A1" s="1" t="s">
        <v>16</v>
      </c>
      <c r="B1" s="2"/>
      <c r="C1" s="2"/>
      <c r="D1" s="2"/>
      <c r="E1" s="2"/>
      <c r="F1" s="2"/>
      <c r="G1" s="2"/>
    </row>
    <row r="2" spans="1:7" ht="18" x14ac:dyDescent="0.35">
      <c r="A2" s="2"/>
      <c r="B2" s="2"/>
      <c r="C2" s="2"/>
      <c r="D2" s="2"/>
      <c r="E2" s="2"/>
      <c r="F2" s="2"/>
      <c r="G2" s="2"/>
    </row>
    <row r="3" spans="1:7" ht="18" x14ac:dyDescent="0.35">
      <c r="B3" s="3" t="s">
        <v>0</v>
      </c>
      <c r="C3" s="3" t="s">
        <v>1</v>
      </c>
      <c r="D3" s="3" t="s">
        <v>2</v>
      </c>
      <c r="E3" s="3" t="s">
        <v>3</v>
      </c>
      <c r="F3" s="2"/>
      <c r="G3" s="2"/>
    </row>
    <row r="4" spans="1:7" ht="18" x14ac:dyDescent="0.35">
      <c r="A4" s="2"/>
      <c r="B4" s="4" t="s">
        <v>4</v>
      </c>
      <c r="C4" s="5">
        <v>12</v>
      </c>
      <c r="D4" s="5">
        <v>85</v>
      </c>
      <c r="E4" s="6" t="s">
        <v>15</v>
      </c>
      <c r="F4" s="2"/>
      <c r="G4" s="2"/>
    </row>
    <row r="5" spans="1:7" ht="18" x14ac:dyDescent="0.35">
      <c r="A5" s="2"/>
      <c r="B5" s="4" t="s">
        <v>5</v>
      </c>
      <c r="C5" s="5">
        <v>11</v>
      </c>
      <c r="D5" s="5">
        <v>72</v>
      </c>
      <c r="E5" s="6" t="s">
        <v>15</v>
      </c>
      <c r="F5" s="2"/>
      <c r="G5" s="2"/>
    </row>
    <row r="6" spans="1:7" ht="18" x14ac:dyDescent="0.35">
      <c r="A6" s="2"/>
      <c r="B6" s="4" t="s">
        <v>6</v>
      </c>
      <c r="C6" s="5">
        <v>13</v>
      </c>
      <c r="D6" s="5">
        <v>60</v>
      </c>
      <c r="E6" s="6" t="s">
        <v>15</v>
      </c>
      <c r="F6" s="2"/>
      <c r="G6" s="2"/>
    </row>
    <row r="7" spans="1:7" ht="18" x14ac:dyDescent="0.35">
      <c r="A7" s="2"/>
      <c r="B7" s="4" t="s">
        <v>7</v>
      </c>
      <c r="C7" s="5">
        <v>12</v>
      </c>
      <c r="D7" s="5">
        <v>95</v>
      </c>
      <c r="E7" s="6" t="s">
        <v>15</v>
      </c>
      <c r="F7" s="2"/>
      <c r="G7" s="2"/>
    </row>
    <row r="8" spans="1:7" ht="18" x14ac:dyDescent="0.35">
      <c r="A8" s="2"/>
      <c r="B8" s="4" t="s">
        <v>8</v>
      </c>
      <c r="C8" s="5">
        <v>14</v>
      </c>
      <c r="D8" s="5">
        <v>88</v>
      </c>
      <c r="E8" s="6" t="s">
        <v>15</v>
      </c>
      <c r="F8" s="2"/>
      <c r="G8" s="2"/>
    </row>
    <row r="9" spans="1:7" ht="18" x14ac:dyDescent="0.35">
      <c r="A9" s="2"/>
      <c r="B9" s="4" t="s">
        <v>9</v>
      </c>
      <c r="C9" s="5">
        <v>12</v>
      </c>
      <c r="D9" s="5">
        <v>99</v>
      </c>
      <c r="E9" s="6" t="s">
        <v>15</v>
      </c>
      <c r="F9" s="2"/>
      <c r="G9" s="2"/>
    </row>
    <row r="10" spans="1:7" ht="18" x14ac:dyDescent="0.35">
      <c r="A10" s="2"/>
      <c r="B10" s="4" t="s">
        <v>10</v>
      </c>
      <c r="C10" s="5">
        <v>11</v>
      </c>
      <c r="D10" s="5">
        <v>75</v>
      </c>
      <c r="E10" s="6" t="s">
        <v>15</v>
      </c>
      <c r="F10" s="2"/>
      <c r="G10" s="2"/>
    </row>
    <row r="11" spans="1:7" ht="18" x14ac:dyDescent="0.35">
      <c r="A11" s="2"/>
      <c r="B11" s="4" t="s">
        <v>11</v>
      </c>
      <c r="C11" s="5">
        <v>13</v>
      </c>
      <c r="D11" s="5">
        <v>100</v>
      </c>
      <c r="E11" s="6" t="s">
        <v>15</v>
      </c>
      <c r="F11" s="2"/>
      <c r="G11" s="2"/>
    </row>
    <row r="12" spans="1:7" ht="18" x14ac:dyDescent="0.35">
      <c r="A12" s="2"/>
      <c r="B12" s="4" t="s">
        <v>12</v>
      </c>
      <c r="C12" s="5">
        <v>13</v>
      </c>
      <c r="D12" s="5">
        <v>75</v>
      </c>
      <c r="E12" s="6" t="s">
        <v>15</v>
      </c>
      <c r="F12" s="2"/>
      <c r="G12" s="2"/>
    </row>
    <row r="13" spans="1:7" ht="18" x14ac:dyDescent="0.35">
      <c r="A13" s="2"/>
      <c r="B13" s="4" t="s">
        <v>13</v>
      </c>
      <c r="C13" s="5">
        <v>15</v>
      </c>
      <c r="D13" s="5">
        <v>85</v>
      </c>
      <c r="E13" s="6" t="s">
        <v>15</v>
      </c>
      <c r="F13" s="2"/>
      <c r="G13" s="2"/>
    </row>
    <row r="14" spans="1:7" ht="18" x14ac:dyDescent="0.35">
      <c r="A14" s="2"/>
      <c r="B14" s="4" t="s">
        <v>14</v>
      </c>
      <c r="C14" s="5">
        <v>11</v>
      </c>
      <c r="D14" s="5">
        <v>85</v>
      </c>
      <c r="E14" s="6" t="s">
        <v>15</v>
      </c>
      <c r="F14" s="2"/>
      <c r="G14" s="2"/>
    </row>
    <row r="15" spans="1:7" ht="18" x14ac:dyDescent="0.35">
      <c r="A15" s="2"/>
      <c r="B15" s="2"/>
      <c r="C15" s="2"/>
      <c r="D15" s="2"/>
      <c r="E15" s="2"/>
      <c r="F15" s="2"/>
      <c r="G15" s="2"/>
    </row>
    <row r="16" spans="1:7" ht="18" x14ac:dyDescent="0.35">
      <c r="A16" s="7" t="s">
        <v>17</v>
      </c>
      <c r="B16" s="2"/>
      <c r="C16" s="5">
        <f>MIN(C4:C14)</f>
        <v>11</v>
      </c>
      <c r="D16" s="5">
        <f>MIN(D4:D14)</f>
        <v>60</v>
      </c>
      <c r="E16" s="2"/>
      <c r="F16" s="2"/>
      <c r="G16" s="2"/>
    </row>
    <row r="17" spans="1:7" ht="18" x14ac:dyDescent="0.35">
      <c r="A17" s="7" t="s">
        <v>18</v>
      </c>
      <c r="B17" s="2"/>
      <c r="C17" s="5">
        <f>MAX(C4:C14)</f>
        <v>15</v>
      </c>
      <c r="D17" s="5">
        <f>MAX(D4:D14)</f>
        <v>100</v>
      </c>
      <c r="E17" s="2"/>
      <c r="F17" s="2"/>
      <c r="G17" s="2"/>
    </row>
    <row r="18" spans="1:7" ht="18" x14ac:dyDescent="0.35">
      <c r="A18" s="7" t="s">
        <v>19</v>
      </c>
      <c r="B18" s="2"/>
      <c r="C18" s="5">
        <f>AVERAGE(C4+C14)</f>
        <v>23</v>
      </c>
      <c r="D18" s="5">
        <v>84</v>
      </c>
      <c r="E18" s="2"/>
      <c r="F18" s="2"/>
      <c r="G18" s="2"/>
    </row>
    <row r="19" spans="1:7" ht="18" x14ac:dyDescent="0.35">
      <c r="A19" s="7" t="s">
        <v>20</v>
      </c>
      <c r="B19" s="2"/>
      <c r="C19" s="5">
        <f>MIN(C4:C14)</f>
        <v>11</v>
      </c>
      <c r="D19" s="5">
        <f>MODE(D4:D14)</f>
        <v>85</v>
      </c>
      <c r="E19" s="2"/>
      <c r="F19" s="2"/>
      <c r="G19" s="2"/>
    </row>
    <row r="20" spans="1:7" ht="18" x14ac:dyDescent="0.35">
      <c r="A20" s="7" t="s">
        <v>21</v>
      </c>
      <c r="B20" s="2"/>
      <c r="C20" s="5">
        <f>MEDIAN(C4:C14)</f>
        <v>12</v>
      </c>
      <c r="D20" s="5">
        <f>MEDIAN(D4:D14)</f>
        <v>85</v>
      </c>
      <c r="E20" s="2"/>
      <c r="F20" s="2"/>
      <c r="G20" s="2"/>
    </row>
    <row r="21" spans="1:7" ht="18" x14ac:dyDescent="0.35">
      <c r="A21" s="7" t="s">
        <v>22</v>
      </c>
      <c r="B21" s="5">
        <v>11</v>
      </c>
      <c r="C21" s="2"/>
      <c r="D21" s="2"/>
      <c r="E21" s="2"/>
      <c r="F21" s="2"/>
      <c r="G21" s="2"/>
    </row>
    <row r="22" spans="1:7" ht="18" x14ac:dyDescent="0.35">
      <c r="A22" s="2"/>
      <c r="B22" s="2"/>
      <c r="C22" s="2"/>
      <c r="D22" s="2"/>
      <c r="E22" s="2"/>
      <c r="F22" s="2"/>
      <c r="G2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6362-CDEA-42AB-A91A-EC4BA52BCF10}">
  <dimension ref="A3:G8"/>
  <sheetViews>
    <sheetView topLeftCell="A2" zoomScale="131" workbookViewId="0">
      <selection activeCell="B22" sqref="B22"/>
    </sheetView>
  </sheetViews>
  <sheetFormatPr defaultRowHeight="14.4" x14ac:dyDescent="0.3"/>
  <cols>
    <col min="1" max="1" width="11.88671875" customWidth="1"/>
    <col min="3" max="3" width="10.77734375" customWidth="1"/>
    <col min="5" max="5" width="10.6640625" customWidth="1"/>
    <col min="6" max="6" width="15.5546875" customWidth="1"/>
    <col min="7" max="7" width="14.44140625" customWidth="1"/>
  </cols>
  <sheetData>
    <row r="3" spans="1:7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</row>
    <row r="4" spans="1:7" x14ac:dyDescent="0.3">
      <c r="A4" t="s">
        <v>30</v>
      </c>
      <c r="B4">
        <v>2000</v>
      </c>
      <c r="C4" s="8">
        <v>0.21</v>
      </c>
      <c r="D4">
        <v>3</v>
      </c>
      <c r="E4">
        <v>420</v>
      </c>
      <c r="F4">
        <f>B4+E4</f>
        <v>2420</v>
      </c>
      <c r="G4">
        <v>807</v>
      </c>
    </row>
    <row r="5" spans="1:7" x14ac:dyDescent="0.3">
      <c r="A5" t="s">
        <v>31</v>
      </c>
      <c r="B5">
        <v>450</v>
      </c>
      <c r="C5" s="9">
        <v>0.25</v>
      </c>
      <c r="D5">
        <v>3</v>
      </c>
      <c r="E5">
        <f>B5*C5</f>
        <v>112.5</v>
      </c>
      <c r="F5">
        <f>B5+E5</f>
        <v>562.5</v>
      </c>
      <c r="G5">
        <f>F5/D5</f>
        <v>187.5</v>
      </c>
    </row>
    <row r="6" spans="1:7" x14ac:dyDescent="0.3">
      <c r="A6" t="s">
        <v>32</v>
      </c>
      <c r="B6">
        <v>975</v>
      </c>
      <c r="C6" s="8">
        <v>0.27</v>
      </c>
      <c r="D6">
        <v>3</v>
      </c>
      <c r="E6">
        <f>B6*C6</f>
        <v>263.25</v>
      </c>
      <c r="F6">
        <f>B6+E6</f>
        <v>1238.25</v>
      </c>
      <c r="G6">
        <f>F6/D6</f>
        <v>412.75</v>
      </c>
    </row>
    <row r="7" spans="1:7" x14ac:dyDescent="0.3">
      <c r="A7" t="s">
        <v>33</v>
      </c>
      <c r="B7">
        <v>1500</v>
      </c>
      <c r="C7" s="8">
        <v>0.15</v>
      </c>
      <c r="D7">
        <v>3</v>
      </c>
      <c r="E7">
        <f>B7*C7</f>
        <v>225</v>
      </c>
      <c r="F7">
        <f>B7+E7</f>
        <v>1725</v>
      </c>
      <c r="G7">
        <f>F7/D7</f>
        <v>575</v>
      </c>
    </row>
    <row r="8" spans="1:7" x14ac:dyDescent="0.3">
      <c r="A8" t="s">
        <v>34</v>
      </c>
      <c r="B8">
        <v>780</v>
      </c>
      <c r="C8" s="8">
        <v>0.25</v>
      </c>
      <c r="D8">
        <v>3</v>
      </c>
      <c r="E8">
        <f>B8*C8</f>
        <v>195</v>
      </c>
      <c r="F8">
        <f>B8+E8</f>
        <v>975</v>
      </c>
      <c r="G8">
        <f>F8/D8</f>
        <v>325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C7BC-D4DE-4719-B383-3141CB047425}">
  <dimension ref="A1:I211"/>
  <sheetViews>
    <sheetView zoomScale="87" workbookViewId="0">
      <selection activeCell="J7" sqref="J7"/>
    </sheetView>
  </sheetViews>
  <sheetFormatPr defaultRowHeight="14.4" x14ac:dyDescent="0.3"/>
  <cols>
    <col min="1" max="1" width="11.77734375" customWidth="1"/>
    <col min="2" max="2" width="13.88671875" customWidth="1"/>
    <col min="3" max="3" width="15" customWidth="1"/>
    <col min="4" max="4" width="21.88671875" customWidth="1"/>
    <col min="5" max="5" width="13.21875" customWidth="1"/>
    <col min="6" max="9" width="11.77734375" customWidth="1"/>
  </cols>
  <sheetData>
    <row r="1" spans="1:9" ht="15.6" x14ac:dyDescent="0.3">
      <c r="A1" s="11" t="s">
        <v>164</v>
      </c>
      <c r="B1" s="10"/>
      <c r="C1" s="10"/>
      <c r="D1" s="10"/>
      <c r="E1" s="12"/>
      <c r="F1" s="10"/>
      <c r="G1" s="10"/>
      <c r="H1" s="10"/>
      <c r="I1" s="13"/>
    </row>
    <row r="2" spans="1:9" ht="15.6" x14ac:dyDescent="0.3">
      <c r="A2" s="23" t="s">
        <v>35</v>
      </c>
      <c r="B2" s="24" t="s">
        <v>36</v>
      </c>
      <c r="C2" s="24" t="s">
        <v>37</v>
      </c>
      <c r="D2" s="24" t="s">
        <v>38</v>
      </c>
      <c r="E2" s="25" t="s">
        <v>39</v>
      </c>
      <c r="F2" s="26" t="s">
        <v>40</v>
      </c>
      <c r="G2" s="26" t="s">
        <v>41</v>
      </c>
      <c r="H2" s="26" t="s">
        <v>42</v>
      </c>
      <c r="I2" s="26" t="s">
        <v>43</v>
      </c>
    </row>
    <row r="3" spans="1:9" ht="46.8" x14ac:dyDescent="0.3">
      <c r="A3" s="14" t="s">
        <v>165</v>
      </c>
      <c r="B3" s="15" t="s">
        <v>166</v>
      </c>
      <c r="C3" s="15" t="s">
        <v>167</v>
      </c>
      <c r="D3" s="15" t="s">
        <v>168</v>
      </c>
      <c r="E3" s="16" t="s">
        <v>169</v>
      </c>
      <c r="F3" s="17"/>
      <c r="G3" s="17" t="s">
        <v>170</v>
      </c>
      <c r="H3" s="17" t="s">
        <v>171</v>
      </c>
      <c r="I3" s="17" t="s">
        <v>172</v>
      </c>
    </row>
    <row r="4" spans="1:9" ht="15.6" x14ac:dyDescent="0.3">
      <c r="A4" s="18">
        <v>40588</v>
      </c>
      <c r="B4" s="19" t="s">
        <v>44</v>
      </c>
      <c r="C4" s="19" t="s">
        <v>45</v>
      </c>
      <c r="D4" s="19" t="s">
        <v>46</v>
      </c>
      <c r="E4" s="20">
        <v>5100</v>
      </c>
      <c r="F4" s="21" t="s">
        <v>47</v>
      </c>
      <c r="G4" s="21" t="s">
        <v>48</v>
      </c>
      <c r="H4" s="21" t="s">
        <v>49</v>
      </c>
      <c r="I4" s="22">
        <v>40604</v>
      </c>
    </row>
    <row r="5" spans="1:9" ht="15.6" x14ac:dyDescent="0.3">
      <c r="A5" s="18">
        <v>40603</v>
      </c>
      <c r="B5" s="19" t="s">
        <v>50</v>
      </c>
      <c r="C5" s="19" t="s">
        <v>51</v>
      </c>
      <c r="D5" s="19" t="s">
        <v>52</v>
      </c>
      <c r="E5" s="20">
        <v>179</v>
      </c>
      <c r="F5" s="21" t="s">
        <v>47</v>
      </c>
      <c r="G5" s="21" t="s">
        <v>48</v>
      </c>
      <c r="H5" s="21" t="s">
        <v>53</v>
      </c>
      <c r="I5" s="22">
        <v>40633</v>
      </c>
    </row>
    <row r="6" spans="1:9" ht="15.6" x14ac:dyDescent="0.3">
      <c r="A6" s="18">
        <v>40604</v>
      </c>
      <c r="B6" s="19" t="s">
        <v>54</v>
      </c>
      <c r="C6" s="19" t="s">
        <v>55</v>
      </c>
      <c r="D6" s="19" t="s">
        <v>56</v>
      </c>
      <c r="E6" s="20">
        <v>478</v>
      </c>
      <c r="F6" s="21" t="s">
        <v>47</v>
      </c>
      <c r="G6" s="21" t="s">
        <v>48</v>
      </c>
      <c r="H6" s="21" t="s">
        <v>57</v>
      </c>
      <c r="I6" s="22">
        <v>40634</v>
      </c>
    </row>
    <row r="7" spans="1:9" ht="15.6" x14ac:dyDescent="0.3">
      <c r="A7" s="18">
        <v>40607</v>
      </c>
      <c r="B7" s="19" t="s">
        <v>58</v>
      </c>
      <c r="C7" s="19" t="s">
        <v>59</v>
      </c>
      <c r="D7" s="19" t="s">
        <v>60</v>
      </c>
      <c r="E7" s="20">
        <v>340</v>
      </c>
      <c r="F7" s="21" t="s">
        <v>47</v>
      </c>
      <c r="G7" s="21" t="s">
        <v>48</v>
      </c>
      <c r="H7" s="21" t="s">
        <v>61</v>
      </c>
      <c r="I7" s="22">
        <v>40607</v>
      </c>
    </row>
    <row r="8" spans="1:9" ht="15.6" x14ac:dyDescent="0.3">
      <c r="A8" s="18">
        <v>40617</v>
      </c>
      <c r="B8" s="19" t="s">
        <v>62</v>
      </c>
      <c r="C8" s="19" t="s">
        <v>63</v>
      </c>
      <c r="D8" s="19" t="s">
        <v>64</v>
      </c>
      <c r="E8" s="20">
        <v>50</v>
      </c>
      <c r="F8" s="21" t="s">
        <v>47</v>
      </c>
      <c r="G8" s="21" t="s">
        <v>48</v>
      </c>
      <c r="H8" s="21" t="s">
        <v>65</v>
      </c>
      <c r="I8" s="22">
        <v>40617</v>
      </c>
    </row>
    <row r="9" spans="1:9" ht="15.6" x14ac:dyDescent="0.3">
      <c r="A9" s="18">
        <v>40617</v>
      </c>
      <c r="B9" s="19" t="s">
        <v>62</v>
      </c>
      <c r="C9" s="19" t="s">
        <v>63</v>
      </c>
      <c r="D9" s="19" t="s">
        <v>64</v>
      </c>
      <c r="E9" s="20">
        <v>35</v>
      </c>
      <c r="F9" s="21" t="s">
        <v>47</v>
      </c>
      <c r="G9" s="21" t="s">
        <v>66</v>
      </c>
      <c r="H9" s="21" t="s">
        <v>65</v>
      </c>
      <c r="I9" s="22">
        <v>40617</v>
      </c>
    </row>
    <row r="10" spans="1:9" ht="15.6" x14ac:dyDescent="0.3">
      <c r="A10" s="18">
        <v>40617</v>
      </c>
      <c r="B10" s="19" t="s">
        <v>67</v>
      </c>
      <c r="C10" s="19" t="s">
        <v>68</v>
      </c>
      <c r="D10" s="19" t="s">
        <v>69</v>
      </c>
      <c r="E10" s="20">
        <v>1000</v>
      </c>
      <c r="F10" s="21" t="s">
        <v>47</v>
      </c>
      <c r="G10" s="21" t="s">
        <v>48</v>
      </c>
      <c r="H10" s="21" t="s">
        <v>70</v>
      </c>
      <c r="I10" s="22">
        <v>40635</v>
      </c>
    </row>
    <row r="11" spans="1:9" ht="15.6" x14ac:dyDescent="0.3">
      <c r="A11" s="18">
        <v>40617</v>
      </c>
      <c r="B11" s="19" t="s">
        <v>71</v>
      </c>
      <c r="C11" s="19" t="s">
        <v>72</v>
      </c>
      <c r="D11" s="19" t="s">
        <v>73</v>
      </c>
      <c r="E11" s="20">
        <v>90</v>
      </c>
      <c r="F11" s="21" t="s">
        <v>47</v>
      </c>
      <c r="G11" s="21" t="s">
        <v>74</v>
      </c>
      <c r="H11" s="21" t="s">
        <v>75</v>
      </c>
      <c r="I11" s="22">
        <v>40617</v>
      </c>
    </row>
    <row r="12" spans="1:9" ht="15.6" x14ac:dyDescent="0.3">
      <c r="A12" s="18">
        <v>40620</v>
      </c>
      <c r="B12" s="19" t="s">
        <v>76</v>
      </c>
      <c r="C12" s="19" t="s">
        <v>77</v>
      </c>
      <c r="D12" s="19" t="s">
        <v>78</v>
      </c>
      <c r="E12" s="20">
        <v>200</v>
      </c>
      <c r="F12" s="21" t="s">
        <v>47</v>
      </c>
      <c r="G12" s="21" t="s">
        <v>48</v>
      </c>
      <c r="H12" s="21" t="s">
        <v>79</v>
      </c>
      <c r="I12" s="22">
        <v>40620</v>
      </c>
    </row>
    <row r="13" spans="1:9" ht="15.6" x14ac:dyDescent="0.3">
      <c r="A13" s="18">
        <v>40622</v>
      </c>
      <c r="B13" s="19" t="s">
        <v>80</v>
      </c>
      <c r="C13" s="19" t="s">
        <v>81</v>
      </c>
      <c r="D13" s="19" t="s">
        <v>82</v>
      </c>
      <c r="E13" s="20">
        <v>-15000</v>
      </c>
      <c r="F13" s="21" t="s">
        <v>83</v>
      </c>
      <c r="G13" s="21" t="s">
        <v>66</v>
      </c>
      <c r="H13" s="21" t="s">
        <v>84</v>
      </c>
      <c r="I13" s="22">
        <v>40622</v>
      </c>
    </row>
    <row r="14" spans="1:9" ht="15.6" x14ac:dyDescent="0.3">
      <c r="A14" s="18">
        <v>40622</v>
      </c>
      <c r="B14" s="19" t="s">
        <v>80</v>
      </c>
      <c r="C14" s="19" t="s">
        <v>81</v>
      </c>
      <c r="D14" s="19" t="s">
        <v>82</v>
      </c>
      <c r="E14" s="20">
        <v>15000</v>
      </c>
      <c r="F14" s="21" t="s">
        <v>83</v>
      </c>
      <c r="G14" s="21" t="s">
        <v>48</v>
      </c>
      <c r="H14" s="21" t="s">
        <v>84</v>
      </c>
      <c r="I14" s="22">
        <v>40622</v>
      </c>
    </row>
    <row r="15" spans="1:9" ht="15.6" x14ac:dyDescent="0.3">
      <c r="A15" s="18">
        <v>40628</v>
      </c>
      <c r="B15" s="19" t="s">
        <v>80</v>
      </c>
      <c r="C15" s="19" t="s">
        <v>85</v>
      </c>
      <c r="D15" s="19" t="s">
        <v>86</v>
      </c>
      <c r="E15" s="20">
        <v>13000</v>
      </c>
      <c r="F15" s="21" t="s">
        <v>83</v>
      </c>
      <c r="G15" s="21" t="s">
        <v>66</v>
      </c>
      <c r="H15" s="21" t="s">
        <v>87</v>
      </c>
      <c r="I15" s="22">
        <v>40628</v>
      </c>
    </row>
    <row r="16" spans="1:9" ht="15.6" x14ac:dyDescent="0.3">
      <c r="A16" s="18">
        <v>40628</v>
      </c>
      <c r="B16" s="19" t="s">
        <v>88</v>
      </c>
      <c r="C16" s="19" t="s">
        <v>59</v>
      </c>
      <c r="D16" s="19" t="s">
        <v>89</v>
      </c>
      <c r="E16" s="20">
        <v>220</v>
      </c>
      <c r="F16" s="21" t="s">
        <v>83</v>
      </c>
      <c r="G16" s="21" t="s">
        <v>48</v>
      </c>
      <c r="H16" s="21" t="s">
        <v>90</v>
      </c>
      <c r="I16" s="22">
        <v>40628</v>
      </c>
    </row>
    <row r="17" spans="1:9" ht="15.6" x14ac:dyDescent="0.3">
      <c r="A17" s="18">
        <v>40628</v>
      </c>
      <c r="B17" s="19" t="s">
        <v>88</v>
      </c>
      <c r="C17" s="19" t="s">
        <v>59</v>
      </c>
      <c r="D17" s="19" t="s">
        <v>91</v>
      </c>
      <c r="E17" s="20">
        <v>100</v>
      </c>
      <c r="F17" s="21" t="s">
        <v>83</v>
      </c>
      <c r="G17" s="21" t="s">
        <v>48</v>
      </c>
      <c r="H17" s="21" t="s">
        <v>92</v>
      </c>
      <c r="I17" s="22">
        <v>40628</v>
      </c>
    </row>
    <row r="18" spans="1:9" ht="15.6" x14ac:dyDescent="0.3">
      <c r="A18" s="18">
        <v>40628</v>
      </c>
      <c r="B18" s="19" t="s">
        <v>93</v>
      </c>
      <c r="C18" s="19" t="s">
        <v>59</v>
      </c>
      <c r="D18" s="19" t="s">
        <v>94</v>
      </c>
      <c r="E18" s="20">
        <v>6400</v>
      </c>
      <c r="F18" s="21" t="s">
        <v>47</v>
      </c>
      <c r="G18" s="21" t="s">
        <v>48</v>
      </c>
      <c r="H18" s="21" t="s">
        <v>95</v>
      </c>
      <c r="I18" s="22">
        <v>40628</v>
      </c>
    </row>
    <row r="19" spans="1:9" ht="15.6" x14ac:dyDescent="0.3">
      <c r="A19" s="18">
        <v>40633</v>
      </c>
      <c r="B19" s="19" t="s">
        <v>80</v>
      </c>
      <c r="C19" s="19" t="s">
        <v>63</v>
      </c>
      <c r="D19" s="19" t="s">
        <v>96</v>
      </c>
      <c r="E19" s="20">
        <v>100</v>
      </c>
      <c r="F19" s="21" t="s">
        <v>83</v>
      </c>
      <c r="G19" s="21" t="s">
        <v>48</v>
      </c>
      <c r="H19" s="21" t="s">
        <v>84</v>
      </c>
      <c r="I19" s="22">
        <v>40633</v>
      </c>
    </row>
    <row r="20" spans="1:9" ht="15.6" x14ac:dyDescent="0.3">
      <c r="A20" s="18">
        <v>40633</v>
      </c>
      <c r="B20" s="19" t="s">
        <v>80</v>
      </c>
      <c r="C20" s="19" t="s">
        <v>63</v>
      </c>
      <c r="D20" s="19" t="s">
        <v>96</v>
      </c>
      <c r="E20" s="20">
        <v>-100</v>
      </c>
      <c r="F20" s="21" t="s">
        <v>83</v>
      </c>
      <c r="G20" s="21" t="s">
        <v>74</v>
      </c>
      <c r="H20" s="21" t="s">
        <v>84</v>
      </c>
      <c r="I20" s="22">
        <v>40633</v>
      </c>
    </row>
    <row r="21" spans="1:9" ht="15.6" x14ac:dyDescent="0.3">
      <c r="A21" s="18">
        <v>40634</v>
      </c>
      <c r="B21" s="19" t="s">
        <v>50</v>
      </c>
      <c r="C21" s="19" t="s">
        <v>97</v>
      </c>
      <c r="D21" s="19" t="s">
        <v>52</v>
      </c>
      <c r="E21" s="20">
        <v>179</v>
      </c>
      <c r="F21" s="21" t="s">
        <v>47</v>
      </c>
      <c r="G21" s="21" t="s">
        <v>48</v>
      </c>
      <c r="H21" s="21" t="s">
        <v>53</v>
      </c>
      <c r="I21" s="22">
        <v>40664</v>
      </c>
    </row>
    <row r="22" spans="1:9" ht="15.6" x14ac:dyDescent="0.3">
      <c r="A22" s="18">
        <v>40638</v>
      </c>
      <c r="B22" s="19" t="s">
        <v>58</v>
      </c>
      <c r="C22" s="19" t="s">
        <v>59</v>
      </c>
      <c r="D22" s="19" t="s">
        <v>60</v>
      </c>
      <c r="E22" s="20">
        <v>340</v>
      </c>
      <c r="F22" s="21" t="s">
        <v>47</v>
      </c>
      <c r="G22" s="21" t="s">
        <v>48</v>
      </c>
      <c r="H22" s="21" t="s">
        <v>61</v>
      </c>
      <c r="I22" s="22">
        <v>40638</v>
      </c>
    </row>
    <row r="23" spans="1:9" ht="15.6" x14ac:dyDescent="0.3">
      <c r="A23" s="18">
        <v>40645</v>
      </c>
      <c r="B23" s="19" t="s">
        <v>71</v>
      </c>
      <c r="C23" s="19" t="s">
        <v>72</v>
      </c>
      <c r="D23" s="19" t="s">
        <v>73</v>
      </c>
      <c r="E23" s="20">
        <v>87</v>
      </c>
      <c r="F23" s="21" t="s">
        <v>47</v>
      </c>
      <c r="G23" s="21" t="s">
        <v>74</v>
      </c>
      <c r="H23" s="21" t="s">
        <v>75</v>
      </c>
      <c r="I23" s="22">
        <v>40645</v>
      </c>
    </row>
    <row r="24" spans="1:9" ht="15.6" x14ac:dyDescent="0.3">
      <c r="A24" s="18">
        <v>40648</v>
      </c>
      <c r="B24" s="19" t="s">
        <v>62</v>
      </c>
      <c r="C24" s="19" t="s">
        <v>63</v>
      </c>
      <c r="D24" s="19" t="s">
        <v>64</v>
      </c>
      <c r="E24" s="20">
        <v>80</v>
      </c>
      <c r="F24" s="21" t="s">
        <v>47</v>
      </c>
      <c r="G24" s="21" t="s">
        <v>48</v>
      </c>
      <c r="H24" s="21" t="s">
        <v>65</v>
      </c>
      <c r="I24" s="22">
        <v>40648</v>
      </c>
    </row>
    <row r="25" spans="1:9" ht="15.6" x14ac:dyDescent="0.3">
      <c r="A25" s="18">
        <v>40648</v>
      </c>
      <c r="B25" s="19" t="s">
        <v>62</v>
      </c>
      <c r="C25" s="19" t="s">
        <v>63</v>
      </c>
      <c r="D25" s="19" t="s">
        <v>64</v>
      </c>
      <c r="E25" s="20">
        <v>35</v>
      </c>
      <c r="F25" s="21" t="s">
        <v>47</v>
      </c>
      <c r="G25" s="21" t="s">
        <v>66</v>
      </c>
      <c r="H25" s="21" t="s">
        <v>65</v>
      </c>
      <c r="I25" s="22">
        <v>40648</v>
      </c>
    </row>
    <row r="26" spans="1:9" ht="15.6" x14ac:dyDescent="0.3">
      <c r="A26" s="18">
        <v>40648</v>
      </c>
      <c r="B26" s="19" t="s">
        <v>67</v>
      </c>
      <c r="C26" s="19" t="s">
        <v>68</v>
      </c>
      <c r="D26" s="19" t="s">
        <v>69</v>
      </c>
      <c r="E26" s="20">
        <v>1000</v>
      </c>
      <c r="F26" s="21" t="s">
        <v>47</v>
      </c>
      <c r="G26" s="21" t="s">
        <v>48</v>
      </c>
      <c r="H26" s="21" t="s">
        <v>70</v>
      </c>
      <c r="I26" s="22">
        <v>40666</v>
      </c>
    </row>
    <row r="27" spans="1:9" ht="15.6" x14ac:dyDescent="0.3">
      <c r="A27" s="18">
        <v>40653</v>
      </c>
      <c r="B27" s="19" t="s">
        <v>80</v>
      </c>
      <c r="C27" s="19" t="s">
        <v>81</v>
      </c>
      <c r="D27" s="19" t="s">
        <v>82</v>
      </c>
      <c r="E27" s="20">
        <v>-20000</v>
      </c>
      <c r="F27" s="21" t="s">
        <v>83</v>
      </c>
      <c r="G27" s="21" t="s">
        <v>66</v>
      </c>
      <c r="H27" s="21" t="s">
        <v>84</v>
      </c>
      <c r="I27" s="22">
        <v>40653</v>
      </c>
    </row>
    <row r="28" spans="1:9" ht="15.6" x14ac:dyDescent="0.3">
      <c r="A28" s="18">
        <v>40653</v>
      </c>
      <c r="B28" s="19" t="s">
        <v>80</v>
      </c>
      <c r="C28" s="19" t="s">
        <v>81</v>
      </c>
      <c r="D28" s="19" t="s">
        <v>82</v>
      </c>
      <c r="E28" s="20">
        <v>20000</v>
      </c>
      <c r="F28" s="21" t="s">
        <v>83</v>
      </c>
      <c r="G28" s="21" t="s">
        <v>48</v>
      </c>
      <c r="H28" s="21" t="s">
        <v>84</v>
      </c>
      <c r="I28" s="22">
        <v>40653</v>
      </c>
    </row>
    <row r="29" spans="1:9" ht="15.6" x14ac:dyDescent="0.3">
      <c r="A29" s="18">
        <v>40658</v>
      </c>
      <c r="B29" s="19" t="s">
        <v>98</v>
      </c>
      <c r="C29" s="19" t="s">
        <v>99</v>
      </c>
      <c r="D29" s="19" t="s">
        <v>100</v>
      </c>
      <c r="E29" s="20">
        <v>1300</v>
      </c>
      <c r="F29" s="21" t="s">
        <v>83</v>
      </c>
      <c r="G29" s="21" t="s">
        <v>48</v>
      </c>
      <c r="H29" s="21" t="s">
        <v>101</v>
      </c>
      <c r="I29" s="22">
        <v>40658</v>
      </c>
    </row>
    <row r="30" spans="1:9" ht="15.6" x14ac:dyDescent="0.3">
      <c r="A30" s="18">
        <v>40659</v>
      </c>
      <c r="B30" s="19" t="s">
        <v>80</v>
      </c>
      <c r="C30" s="19" t="s">
        <v>85</v>
      </c>
      <c r="D30" s="19" t="s">
        <v>86</v>
      </c>
      <c r="E30" s="20">
        <v>20000</v>
      </c>
      <c r="F30" s="21" t="s">
        <v>83</v>
      </c>
      <c r="G30" s="21" t="s">
        <v>66</v>
      </c>
      <c r="H30" s="21" t="s">
        <v>87</v>
      </c>
      <c r="I30" s="22">
        <v>40659</v>
      </c>
    </row>
    <row r="31" spans="1:9" ht="15.6" x14ac:dyDescent="0.3">
      <c r="A31" s="18">
        <v>40659</v>
      </c>
      <c r="B31" s="19" t="s">
        <v>102</v>
      </c>
      <c r="C31" s="19" t="s">
        <v>68</v>
      </c>
      <c r="D31" s="19" t="s">
        <v>103</v>
      </c>
      <c r="E31" s="20">
        <v>3000</v>
      </c>
      <c r="F31" s="21" t="s">
        <v>47</v>
      </c>
      <c r="G31" s="21" t="s">
        <v>48</v>
      </c>
      <c r="H31" s="21" t="s">
        <v>104</v>
      </c>
      <c r="I31" s="22">
        <v>40689</v>
      </c>
    </row>
    <row r="32" spans="1:9" ht="15.6" x14ac:dyDescent="0.3">
      <c r="A32" s="18">
        <v>40659</v>
      </c>
      <c r="B32" s="19" t="s">
        <v>88</v>
      </c>
      <c r="C32" s="19" t="s">
        <v>59</v>
      </c>
      <c r="D32" s="19" t="s">
        <v>89</v>
      </c>
      <c r="E32" s="20">
        <v>220</v>
      </c>
      <c r="F32" s="21" t="s">
        <v>83</v>
      </c>
      <c r="G32" s="21" t="s">
        <v>48</v>
      </c>
      <c r="H32" s="21" t="s">
        <v>90</v>
      </c>
      <c r="I32" s="22">
        <v>40659</v>
      </c>
    </row>
    <row r="33" spans="1:9" ht="15.6" x14ac:dyDescent="0.3">
      <c r="A33" s="18">
        <v>40659</v>
      </c>
      <c r="B33" s="19" t="s">
        <v>88</v>
      </c>
      <c r="C33" s="19" t="s">
        <v>59</v>
      </c>
      <c r="D33" s="19" t="s">
        <v>91</v>
      </c>
      <c r="E33" s="20">
        <v>100</v>
      </c>
      <c r="F33" s="21" t="s">
        <v>83</v>
      </c>
      <c r="G33" s="21" t="s">
        <v>48</v>
      </c>
      <c r="H33" s="21" t="s">
        <v>92</v>
      </c>
      <c r="I33" s="22">
        <v>40659</v>
      </c>
    </row>
    <row r="34" spans="1:9" ht="15.6" x14ac:dyDescent="0.3">
      <c r="A34" s="18">
        <v>40659</v>
      </c>
      <c r="B34" s="19" t="s">
        <v>93</v>
      </c>
      <c r="C34" s="19" t="s">
        <v>59</v>
      </c>
      <c r="D34" s="19" t="s">
        <v>94</v>
      </c>
      <c r="E34" s="20">
        <v>6400</v>
      </c>
      <c r="F34" s="21" t="s">
        <v>47</v>
      </c>
      <c r="G34" s="21" t="s">
        <v>48</v>
      </c>
      <c r="H34" s="21" t="s">
        <v>95</v>
      </c>
      <c r="I34" s="22">
        <v>40659</v>
      </c>
    </row>
    <row r="35" spans="1:9" ht="15.6" x14ac:dyDescent="0.3">
      <c r="A35" s="18">
        <v>40662</v>
      </c>
      <c r="B35" s="19" t="s">
        <v>105</v>
      </c>
      <c r="C35" s="19" t="s">
        <v>106</v>
      </c>
      <c r="D35" s="19" t="s">
        <v>107</v>
      </c>
      <c r="E35" s="20">
        <v>41</v>
      </c>
      <c r="F35" s="21" t="s">
        <v>47</v>
      </c>
      <c r="G35" s="21" t="s">
        <v>74</v>
      </c>
      <c r="H35" s="21" t="s">
        <v>108</v>
      </c>
      <c r="I35" s="22">
        <v>40692</v>
      </c>
    </row>
    <row r="36" spans="1:9" ht="15.6" x14ac:dyDescent="0.3">
      <c r="A36" s="18">
        <v>40663</v>
      </c>
      <c r="B36" s="19" t="s">
        <v>80</v>
      </c>
      <c r="C36" s="19" t="s">
        <v>63</v>
      </c>
      <c r="D36" s="19" t="s">
        <v>96</v>
      </c>
      <c r="E36" s="20">
        <v>100</v>
      </c>
      <c r="F36" s="21" t="s">
        <v>83</v>
      </c>
      <c r="G36" s="21" t="s">
        <v>48</v>
      </c>
      <c r="H36" s="21" t="s">
        <v>84</v>
      </c>
      <c r="I36" s="22">
        <v>40663</v>
      </c>
    </row>
    <row r="37" spans="1:9" ht="15.6" x14ac:dyDescent="0.3">
      <c r="A37" s="18">
        <v>40663</v>
      </c>
      <c r="B37" s="19" t="s">
        <v>80</v>
      </c>
      <c r="C37" s="19" t="s">
        <v>63</v>
      </c>
      <c r="D37" s="19" t="s">
        <v>96</v>
      </c>
      <c r="E37" s="20">
        <v>-100</v>
      </c>
      <c r="F37" s="21" t="s">
        <v>83</v>
      </c>
      <c r="G37" s="21" t="s">
        <v>74</v>
      </c>
      <c r="H37" s="21" t="s">
        <v>84</v>
      </c>
      <c r="I37" s="22">
        <v>40663</v>
      </c>
    </row>
    <row r="38" spans="1:9" ht="15.6" x14ac:dyDescent="0.3">
      <c r="A38" s="18">
        <v>40664</v>
      </c>
      <c r="B38" s="19" t="s">
        <v>50</v>
      </c>
      <c r="C38" s="19" t="s">
        <v>109</v>
      </c>
      <c r="D38" s="19" t="s">
        <v>52</v>
      </c>
      <c r="E38" s="20">
        <v>179</v>
      </c>
      <c r="F38" s="21" t="s">
        <v>47</v>
      </c>
      <c r="G38" s="21" t="s">
        <v>48</v>
      </c>
      <c r="H38" s="21" t="s">
        <v>53</v>
      </c>
      <c r="I38" s="22">
        <v>40694</v>
      </c>
    </row>
    <row r="39" spans="1:9" ht="15.6" x14ac:dyDescent="0.3">
      <c r="A39" s="18">
        <v>40664</v>
      </c>
      <c r="B39" s="19" t="s">
        <v>110</v>
      </c>
      <c r="C39" s="19" t="s">
        <v>68</v>
      </c>
      <c r="D39" s="19" t="s">
        <v>111</v>
      </c>
      <c r="E39" s="20">
        <v>220</v>
      </c>
      <c r="F39" s="21" t="s">
        <v>47</v>
      </c>
      <c r="G39" s="21" t="s">
        <v>48</v>
      </c>
      <c r="H39" s="21" t="s">
        <v>112</v>
      </c>
      <c r="I39" s="22">
        <v>40694</v>
      </c>
    </row>
    <row r="40" spans="1:9" ht="15.6" x14ac:dyDescent="0.3">
      <c r="A40" s="18">
        <v>40668</v>
      </c>
      <c r="B40" s="19" t="s">
        <v>58</v>
      </c>
      <c r="C40" s="19" t="s">
        <v>59</v>
      </c>
      <c r="D40" s="19" t="s">
        <v>60</v>
      </c>
      <c r="E40" s="20">
        <v>340</v>
      </c>
      <c r="F40" s="21" t="s">
        <v>47</v>
      </c>
      <c r="G40" s="21" t="s">
        <v>48</v>
      </c>
      <c r="H40" s="21" t="s">
        <v>61</v>
      </c>
      <c r="I40" s="22">
        <v>40668</v>
      </c>
    </row>
    <row r="41" spans="1:9" ht="15.6" x14ac:dyDescent="0.3">
      <c r="A41" s="18">
        <v>40670</v>
      </c>
      <c r="B41" s="19" t="s">
        <v>113</v>
      </c>
      <c r="C41" s="19" t="s">
        <v>114</v>
      </c>
      <c r="D41" s="19" t="s">
        <v>115</v>
      </c>
      <c r="E41" s="20">
        <v>563</v>
      </c>
      <c r="F41" s="21" t="s">
        <v>47</v>
      </c>
      <c r="G41" s="21" t="s">
        <v>48</v>
      </c>
      <c r="H41" s="21" t="s">
        <v>79</v>
      </c>
      <c r="I41" s="22">
        <v>40670</v>
      </c>
    </row>
    <row r="42" spans="1:9" ht="15.6" x14ac:dyDescent="0.3">
      <c r="A42" s="18">
        <v>40670</v>
      </c>
      <c r="B42" s="19" t="s">
        <v>116</v>
      </c>
      <c r="C42" s="19" t="s">
        <v>68</v>
      </c>
      <c r="D42" s="19" t="s">
        <v>117</v>
      </c>
      <c r="E42" s="20">
        <v>982</v>
      </c>
      <c r="F42" s="21" t="s">
        <v>47</v>
      </c>
      <c r="G42" s="21" t="s">
        <v>48</v>
      </c>
      <c r="H42" s="21" t="s">
        <v>118</v>
      </c>
      <c r="I42" s="22">
        <v>40700</v>
      </c>
    </row>
    <row r="43" spans="1:9" ht="15.6" x14ac:dyDescent="0.3">
      <c r="A43" s="18">
        <v>40678</v>
      </c>
      <c r="B43" s="19" t="s">
        <v>62</v>
      </c>
      <c r="C43" s="19" t="s">
        <v>63</v>
      </c>
      <c r="D43" s="19" t="s">
        <v>64</v>
      </c>
      <c r="E43" s="20">
        <v>80</v>
      </c>
      <c r="F43" s="21" t="s">
        <v>47</v>
      </c>
      <c r="G43" s="21" t="s">
        <v>48</v>
      </c>
      <c r="H43" s="21" t="s">
        <v>65</v>
      </c>
      <c r="I43" s="22">
        <v>40678</v>
      </c>
    </row>
    <row r="44" spans="1:9" ht="15.6" x14ac:dyDescent="0.3">
      <c r="A44" s="18">
        <v>40678</v>
      </c>
      <c r="B44" s="19" t="s">
        <v>62</v>
      </c>
      <c r="C44" s="19" t="s">
        <v>63</v>
      </c>
      <c r="D44" s="19" t="s">
        <v>64</v>
      </c>
      <c r="E44" s="20">
        <v>35</v>
      </c>
      <c r="F44" s="21" t="s">
        <v>47</v>
      </c>
      <c r="G44" s="21" t="s">
        <v>66</v>
      </c>
      <c r="H44" s="21" t="s">
        <v>65</v>
      </c>
      <c r="I44" s="22">
        <v>40678</v>
      </c>
    </row>
    <row r="45" spans="1:9" ht="15.6" x14ac:dyDescent="0.3">
      <c r="A45" s="18">
        <v>40678</v>
      </c>
      <c r="B45" s="19" t="s">
        <v>67</v>
      </c>
      <c r="C45" s="19" t="s">
        <v>68</v>
      </c>
      <c r="D45" s="19" t="s">
        <v>69</v>
      </c>
      <c r="E45" s="20">
        <v>1000</v>
      </c>
      <c r="F45" s="21" t="s">
        <v>47</v>
      </c>
      <c r="G45" s="21" t="s">
        <v>48</v>
      </c>
      <c r="H45" s="21" t="s">
        <v>70</v>
      </c>
      <c r="I45" s="22">
        <v>40696</v>
      </c>
    </row>
    <row r="46" spans="1:9" ht="15.6" x14ac:dyDescent="0.3">
      <c r="A46" s="18">
        <v>40683</v>
      </c>
      <c r="B46" s="19" t="s">
        <v>80</v>
      </c>
      <c r="C46" s="19" t="s">
        <v>81</v>
      </c>
      <c r="D46" s="19" t="s">
        <v>82</v>
      </c>
      <c r="E46" s="20">
        <v>-20000</v>
      </c>
      <c r="F46" s="21" t="s">
        <v>83</v>
      </c>
      <c r="G46" s="21" t="s">
        <v>66</v>
      </c>
      <c r="H46" s="21" t="s">
        <v>84</v>
      </c>
      <c r="I46" s="22">
        <v>40683</v>
      </c>
    </row>
    <row r="47" spans="1:9" ht="15.6" x14ac:dyDescent="0.3">
      <c r="A47" s="18">
        <v>40683</v>
      </c>
      <c r="B47" s="19" t="s">
        <v>80</v>
      </c>
      <c r="C47" s="19" t="s">
        <v>81</v>
      </c>
      <c r="D47" s="19" t="s">
        <v>82</v>
      </c>
      <c r="E47" s="20">
        <v>20000</v>
      </c>
      <c r="F47" s="21" t="s">
        <v>83</v>
      </c>
      <c r="G47" s="21" t="s">
        <v>48</v>
      </c>
      <c r="H47" s="21" t="s">
        <v>84</v>
      </c>
      <c r="I47" s="22">
        <v>40683</v>
      </c>
    </row>
    <row r="48" spans="1:9" ht="15.6" x14ac:dyDescent="0.3">
      <c r="A48" s="18">
        <v>40689</v>
      </c>
      <c r="B48" s="19" t="s">
        <v>80</v>
      </c>
      <c r="C48" s="19" t="s">
        <v>85</v>
      </c>
      <c r="D48" s="19" t="s">
        <v>86</v>
      </c>
      <c r="E48" s="20">
        <v>20000</v>
      </c>
      <c r="F48" s="21" t="s">
        <v>83</v>
      </c>
      <c r="G48" s="21" t="s">
        <v>66</v>
      </c>
      <c r="H48" s="21" t="s">
        <v>87</v>
      </c>
      <c r="I48" s="22">
        <v>40689</v>
      </c>
    </row>
    <row r="49" spans="1:9" ht="15.6" x14ac:dyDescent="0.3">
      <c r="A49" s="18">
        <v>40689</v>
      </c>
      <c r="B49" s="19" t="s">
        <v>88</v>
      </c>
      <c r="C49" s="19" t="s">
        <v>59</v>
      </c>
      <c r="D49" s="19" t="s">
        <v>89</v>
      </c>
      <c r="E49" s="20">
        <v>220</v>
      </c>
      <c r="F49" s="21" t="s">
        <v>83</v>
      </c>
      <c r="G49" s="21" t="s">
        <v>48</v>
      </c>
      <c r="H49" s="21" t="s">
        <v>90</v>
      </c>
      <c r="I49" s="22">
        <v>40689</v>
      </c>
    </row>
    <row r="50" spans="1:9" ht="15.6" x14ac:dyDescent="0.3">
      <c r="A50" s="18">
        <v>40689</v>
      </c>
      <c r="B50" s="19" t="s">
        <v>88</v>
      </c>
      <c r="C50" s="19" t="s">
        <v>59</v>
      </c>
      <c r="D50" s="19" t="s">
        <v>91</v>
      </c>
      <c r="E50" s="20">
        <v>100</v>
      </c>
      <c r="F50" s="21" t="s">
        <v>83</v>
      </c>
      <c r="G50" s="21" t="s">
        <v>48</v>
      </c>
      <c r="H50" s="21" t="s">
        <v>92</v>
      </c>
      <c r="I50" s="22">
        <v>40689</v>
      </c>
    </row>
    <row r="51" spans="1:9" ht="15.6" x14ac:dyDescent="0.3">
      <c r="A51" s="18">
        <v>40689</v>
      </c>
      <c r="B51" s="19" t="s">
        <v>93</v>
      </c>
      <c r="C51" s="19" t="s">
        <v>59</v>
      </c>
      <c r="D51" s="19" t="s">
        <v>94</v>
      </c>
      <c r="E51" s="20">
        <v>6400</v>
      </c>
      <c r="F51" s="21" t="s">
        <v>47</v>
      </c>
      <c r="G51" s="21" t="s">
        <v>48</v>
      </c>
      <c r="H51" s="21" t="s">
        <v>95</v>
      </c>
      <c r="I51" s="22">
        <v>40689</v>
      </c>
    </row>
    <row r="52" spans="1:9" ht="15.6" x14ac:dyDescent="0.3">
      <c r="A52" s="18">
        <v>40692</v>
      </c>
      <c r="B52" s="19" t="s">
        <v>71</v>
      </c>
      <c r="C52" s="19" t="s">
        <v>72</v>
      </c>
      <c r="D52" s="19" t="s">
        <v>73</v>
      </c>
      <c r="E52" s="20">
        <v>65</v>
      </c>
      <c r="F52" s="21" t="s">
        <v>47</v>
      </c>
      <c r="G52" s="21" t="s">
        <v>74</v>
      </c>
      <c r="H52" s="21" t="s">
        <v>75</v>
      </c>
      <c r="I52" s="22">
        <v>40692</v>
      </c>
    </row>
    <row r="53" spans="1:9" ht="15.6" x14ac:dyDescent="0.3">
      <c r="A53" s="18">
        <v>40694</v>
      </c>
      <c r="B53" s="19" t="s">
        <v>80</v>
      </c>
      <c r="C53" s="19" t="s">
        <v>63</v>
      </c>
      <c r="D53" s="19" t="s">
        <v>96</v>
      </c>
      <c r="E53" s="20">
        <v>100</v>
      </c>
      <c r="F53" s="21" t="s">
        <v>83</v>
      </c>
      <c r="G53" s="21" t="s">
        <v>48</v>
      </c>
      <c r="H53" s="21" t="s">
        <v>84</v>
      </c>
      <c r="I53" s="22">
        <v>40694</v>
      </c>
    </row>
    <row r="54" spans="1:9" ht="15.6" x14ac:dyDescent="0.3">
      <c r="A54" s="18">
        <v>40694</v>
      </c>
      <c r="B54" s="19" t="s">
        <v>80</v>
      </c>
      <c r="C54" s="19" t="s">
        <v>63</v>
      </c>
      <c r="D54" s="19" t="s">
        <v>96</v>
      </c>
      <c r="E54" s="20">
        <v>-100</v>
      </c>
      <c r="F54" s="21" t="s">
        <v>83</v>
      </c>
      <c r="G54" s="21" t="s">
        <v>74</v>
      </c>
      <c r="H54" s="21" t="s">
        <v>84</v>
      </c>
      <c r="I54" s="22">
        <v>40694</v>
      </c>
    </row>
    <row r="55" spans="1:9" ht="15.6" x14ac:dyDescent="0.3">
      <c r="A55" s="18">
        <v>40695</v>
      </c>
      <c r="B55" s="19" t="s">
        <v>50</v>
      </c>
      <c r="C55" s="19" t="s">
        <v>119</v>
      </c>
      <c r="D55" s="19" t="s">
        <v>52</v>
      </c>
      <c r="E55" s="20">
        <v>179</v>
      </c>
      <c r="F55" s="21" t="s">
        <v>47</v>
      </c>
      <c r="G55" s="21" t="s">
        <v>48</v>
      </c>
      <c r="H55" s="21" t="s">
        <v>53</v>
      </c>
      <c r="I55" s="22">
        <v>40725</v>
      </c>
    </row>
    <row r="56" spans="1:9" ht="15.6" x14ac:dyDescent="0.3">
      <c r="A56" s="18">
        <v>40699</v>
      </c>
      <c r="B56" s="19" t="s">
        <v>58</v>
      </c>
      <c r="C56" s="19" t="s">
        <v>59</v>
      </c>
      <c r="D56" s="19" t="s">
        <v>60</v>
      </c>
      <c r="E56" s="20">
        <v>340</v>
      </c>
      <c r="F56" s="21" t="s">
        <v>47</v>
      </c>
      <c r="G56" s="21" t="s">
        <v>48</v>
      </c>
      <c r="H56" s="21" t="s">
        <v>61</v>
      </c>
      <c r="I56" s="22">
        <v>40699</v>
      </c>
    </row>
    <row r="57" spans="1:9" ht="15.6" x14ac:dyDescent="0.3">
      <c r="A57" s="18">
        <v>40709</v>
      </c>
      <c r="B57" s="19" t="s">
        <v>62</v>
      </c>
      <c r="C57" s="19" t="s">
        <v>63</v>
      </c>
      <c r="D57" s="19" t="s">
        <v>64</v>
      </c>
      <c r="E57" s="20">
        <v>80</v>
      </c>
      <c r="F57" s="21" t="s">
        <v>47</v>
      </c>
      <c r="G57" s="21" t="s">
        <v>48</v>
      </c>
      <c r="H57" s="21" t="s">
        <v>65</v>
      </c>
      <c r="I57" s="22">
        <v>40709</v>
      </c>
    </row>
    <row r="58" spans="1:9" ht="15.6" x14ac:dyDescent="0.3">
      <c r="A58" s="18">
        <v>40709</v>
      </c>
      <c r="B58" s="19" t="s">
        <v>62</v>
      </c>
      <c r="C58" s="19" t="s">
        <v>63</v>
      </c>
      <c r="D58" s="19" t="s">
        <v>64</v>
      </c>
      <c r="E58" s="20">
        <v>35</v>
      </c>
      <c r="F58" s="21" t="s">
        <v>47</v>
      </c>
      <c r="G58" s="21" t="s">
        <v>66</v>
      </c>
      <c r="H58" s="21" t="s">
        <v>65</v>
      </c>
      <c r="I58" s="22">
        <v>40709</v>
      </c>
    </row>
    <row r="59" spans="1:9" ht="15.6" x14ac:dyDescent="0.3">
      <c r="A59" s="18">
        <v>40709</v>
      </c>
      <c r="B59" s="19" t="s">
        <v>67</v>
      </c>
      <c r="C59" s="19" t="s">
        <v>68</v>
      </c>
      <c r="D59" s="19" t="s">
        <v>69</v>
      </c>
      <c r="E59" s="20">
        <v>1000</v>
      </c>
      <c r="F59" s="21" t="s">
        <v>47</v>
      </c>
      <c r="G59" s="21" t="s">
        <v>48</v>
      </c>
      <c r="H59" s="21" t="s">
        <v>70</v>
      </c>
      <c r="I59" s="22">
        <v>40727</v>
      </c>
    </row>
    <row r="60" spans="1:9" ht="15.6" x14ac:dyDescent="0.3">
      <c r="A60" s="18">
        <v>40714</v>
      </c>
      <c r="B60" s="19" t="s">
        <v>80</v>
      </c>
      <c r="C60" s="19" t="s">
        <v>81</v>
      </c>
      <c r="D60" s="19" t="s">
        <v>82</v>
      </c>
      <c r="E60" s="20">
        <v>-20000</v>
      </c>
      <c r="F60" s="21" t="s">
        <v>83</v>
      </c>
      <c r="G60" s="21" t="s">
        <v>66</v>
      </c>
      <c r="H60" s="21" t="s">
        <v>84</v>
      </c>
      <c r="I60" s="22">
        <v>40714</v>
      </c>
    </row>
    <row r="61" spans="1:9" ht="15.6" x14ac:dyDescent="0.3">
      <c r="A61" s="18">
        <v>40714</v>
      </c>
      <c r="B61" s="19" t="s">
        <v>80</v>
      </c>
      <c r="C61" s="19" t="s">
        <v>81</v>
      </c>
      <c r="D61" s="19" t="s">
        <v>82</v>
      </c>
      <c r="E61" s="20">
        <v>20000</v>
      </c>
      <c r="F61" s="21" t="s">
        <v>83</v>
      </c>
      <c r="G61" s="21" t="s">
        <v>48</v>
      </c>
      <c r="H61" s="21" t="s">
        <v>84</v>
      </c>
      <c r="I61" s="22">
        <v>40714</v>
      </c>
    </row>
    <row r="62" spans="1:9" ht="15.6" x14ac:dyDescent="0.3">
      <c r="A62" s="18">
        <v>40716</v>
      </c>
      <c r="B62" s="19" t="s">
        <v>71</v>
      </c>
      <c r="C62" s="19" t="s">
        <v>72</v>
      </c>
      <c r="D62" s="19" t="s">
        <v>73</v>
      </c>
      <c r="E62" s="20">
        <v>110</v>
      </c>
      <c r="F62" s="21" t="s">
        <v>47</v>
      </c>
      <c r="G62" s="21" t="s">
        <v>74</v>
      </c>
      <c r="H62" s="21" t="s">
        <v>75</v>
      </c>
      <c r="I62" s="22">
        <v>40716</v>
      </c>
    </row>
    <row r="63" spans="1:9" ht="15.6" x14ac:dyDescent="0.3">
      <c r="A63" s="18">
        <v>40719</v>
      </c>
      <c r="B63" s="19" t="s">
        <v>98</v>
      </c>
      <c r="C63" s="19" t="s">
        <v>99</v>
      </c>
      <c r="D63" s="19" t="s">
        <v>100</v>
      </c>
      <c r="E63" s="20">
        <v>8700</v>
      </c>
      <c r="F63" s="21" t="s">
        <v>83</v>
      </c>
      <c r="G63" s="21" t="s">
        <v>48</v>
      </c>
      <c r="H63" s="21" t="s">
        <v>101</v>
      </c>
      <c r="I63" s="22">
        <v>40719</v>
      </c>
    </row>
    <row r="64" spans="1:9" ht="15.6" x14ac:dyDescent="0.3">
      <c r="A64" s="18">
        <v>40720</v>
      </c>
      <c r="B64" s="19" t="s">
        <v>80</v>
      </c>
      <c r="C64" s="19" t="s">
        <v>85</v>
      </c>
      <c r="D64" s="19" t="s">
        <v>86</v>
      </c>
      <c r="E64" s="20">
        <v>20000</v>
      </c>
      <c r="F64" s="21" t="s">
        <v>83</v>
      </c>
      <c r="G64" s="21" t="s">
        <v>66</v>
      </c>
      <c r="H64" s="21" t="s">
        <v>87</v>
      </c>
      <c r="I64" s="22">
        <v>40720</v>
      </c>
    </row>
    <row r="65" spans="1:9" ht="15.6" x14ac:dyDescent="0.3">
      <c r="A65" s="18">
        <v>40720</v>
      </c>
      <c r="B65" s="19" t="s">
        <v>88</v>
      </c>
      <c r="C65" s="19" t="s">
        <v>59</v>
      </c>
      <c r="D65" s="19" t="s">
        <v>89</v>
      </c>
      <c r="E65" s="20">
        <v>220</v>
      </c>
      <c r="F65" s="21" t="s">
        <v>83</v>
      </c>
      <c r="G65" s="21" t="s">
        <v>48</v>
      </c>
      <c r="H65" s="21" t="s">
        <v>90</v>
      </c>
      <c r="I65" s="22">
        <v>40720</v>
      </c>
    </row>
    <row r="66" spans="1:9" ht="15.6" x14ac:dyDescent="0.3">
      <c r="A66" s="18">
        <v>40720</v>
      </c>
      <c r="B66" s="19" t="s">
        <v>88</v>
      </c>
      <c r="C66" s="19" t="s">
        <v>59</v>
      </c>
      <c r="D66" s="19" t="s">
        <v>91</v>
      </c>
      <c r="E66" s="20">
        <v>100</v>
      </c>
      <c r="F66" s="21" t="s">
        <v>83</v>
      </c>
      <c r="G66" s="21" t="s">
        <v>48</v>
      </c>
      <c r="H66" s="21" t="s">
        <v>92</v>
      </c>
      <c r="I66" s="22">
        <v>40720</v>
      </c>
    </row>
    <row r="67" spans="1:9" ht="15.6" x14ac:dyDescent="0.3">
      <c r="A67" s="18">
        <v>40720</v>
      </c>
      <c r="B67" s="19" t="s">
        <v>93</v>
      </c>
      <c r="C67" s="19" t="s">
        <v>59</v>
      </c>
      <c r="D67" s="19" t="s">
        <v>94</v>
      </c>
      <c r="E67" s="20">
        <v>6400</v>
      </c>
      <c r="F67" s="21" t="s">
        <v>47</v>
      </c>
      <c r="G67" s="21" t="s">
        <v>48</v>
      </c>
      <c r="H67" s="21" t="s">
        <v>95</v>
      </c>
      <c r="I67" s="22">
        <v>40720</v>
      </c>
    </row>
    <row r="68" spans="1:9" ht="15.6" x14ac:dyDescent="0.3">
      <c r="A68" s="18">
        <v>40720</v>
      </c>
      <c r="B68" s="19" t="s">
        <v>120</v>
      </c>
      <c r="C68" s="19" t="s">
        <v>121</v>
      </c>
      <c r="D68" s="19" t="s">
        <v>122</v>
      </c>
      <c r="E68" s="20">
        <v>1782</v>
      </c>
      <c r="F68" s="21" t="s">
        <v>47</v>
      </c>
      <c r="G68" s="21" t="s">
        <v>48</v>
      </c>
      <c r="H68" s="21" t="s">
        <v>79</v>
      </c>
      <c r="I68" s="22">
        <v>40720</v>
      </c>
    </row>
    <row r="69" spans="1:9" ht="15.6" x14ac:dyDescent="0.3">
      <c r="A69" s="18">
        <v>40724</v>
      </c>
      <c r="B69" s="19" t="s">
        <v>80</v>
      </c>
      <c r="C69" s="19" t="s">
        <v>63</v>
      </c>
      <c r="D69" s="19" t="s">
        <v>96</v>
      </c>
      <c r="E69" s="20">
        <v>100</v>
      </c>
      <c r="F69" s="21" t="s">
        <v>83</v>
      </c>
      <c r="G69" s="21" t="s">
        <v>48</v>
      </c>
      <c r="H69" s="21" t="s">
        <v>84</v>
      </c>
      <c r="I69" s="22">
        <v>40724</v>
      </c>
    </row>
    <row r="70" spans="1:9" ht="15.6" x14ac:dyDescent="0.3">
      <c r="A70" s="18">
        <v>40724</v>
      </c>
      <c r="B70" s="19" t="s">
        <v>80</v>
      </c>
      <c r="C70" s="19" t="s">
        <v>63</v>
      </c>
      <c r="D70" s="19" t="s">
        <v>96</v>
      </c>
      <c r="E70" s="20">
        <v>-100</v>
      </c>
      <c r="F70" s="21" t="s">
        <v>83</v>
      </c>
      <c r="G70" s="21" t="s">
        <v>74</v>
      </c>
      <c r="H70" s="21" t="s">
        <v>84</v>
      </c>
      <c r="I70" s="22">
        <v>40724</v>
      </c>
    </row>
    <row r="71" spans="1:9" ht="15.6" x14ac:dyDescent="0.3">
      <c r="A71" s="18">
        <v>40725</v>
      </c>
      <c r="B71" s="19" t="s">
        <v>50</v>
      </c>
      <c r="C71" s="19" t="s">
        <v>123</v>
      </c>
      <c r="D71" s="19" t="s">
        <v>52</v>
      </c>
      <c r="E71" s="20">
        <v>179</v>
      </c>
      <c r="F71" s="21" t="s">
        <v>47</v>
      </c>
      <c r="G71" s="21" t="s">
        <v>48</v>
      </c>
      <c r="H71" s="21" t="s">
        <v>53</v>
      </c>
      <c r="I71" s="22">
        <v>40755</v>
      </c>
    </row>
    <row r="72" spans="1:9" ht="15.6" x14ac:dyDescent="0.3">
      <c r="A72" s="18">
        <v>40726</v>
      </c>
      <c r="B72" s="19" t="s">
        <v>116</v>
      </c>
      <c r="C72" s="19" t="s">
        <v>68</v>
      </c>
      <c r="D72" s="19" t="s">
        <v>117</v>
      </c>
      <c r="E72" s="20">
        <v>761</v>
      </c>
      <c r="F72" s="21" t="s">
        <v>47</v>
      </c>
      <c r="G72" s="21" t="s">
        <v>48</v>
      </c>
      <c r="H72" s="21" t="s">
        <v>118</v>
      </c>
      <c r="I72" s="22">
        <v>40756</v>
      </c>
    </row>
    <row r="73" spans="1:9" ht="15.6" x14ac:dyDescent="0.3">
      <c r="A73" s="18">
        <v>40729</v>
      </c>
      <c r="B73" s="19" t="s">
        <v>58</v>
      </c>
      <c r="C73" s="19" t="s">
        <v>59</v>
      </c>
      <c r="D73" s="19" t="s">
        <v>60</v>
      </c>
      <c r="E73" s="20">
        <v>340</v>
      </c>
      <c r="F73" s="21" t="s">
        <v>47</v>
      </c>
      <c r="G73" s="21" t="s">
        <v>48</v>
      </c>
      <c r="H73" s="21" t="s">
        <v>61</v>
      </c>
      <c r="I73" s="22">
        <v>40729</v>
      </c>
    </row>
    <row r="74" spans="1:9" ht="15.6" x14ac:dyDescent="0.3">
      <c r="A74" s="18">
        <v>40739</v>
      </c>
      <c r="B74" s="19" t="s">
        <v>62</v>
      </c>
      <c r="C74" s="19" t="s">
        <v>63</v>
      </c>
      <c r="D74" s="19" t="s">
        <v>64</v>
      </c>
      <c r="E74" s="20">
        <v>80</v>
      </c>
      <c r="F74" s="21" t="s">
        <v>47</v>
      </c>
      <c r="G74" s="21" t="s">
        <v>48</v>
      </c>
      <c r="H74" s="21" t="s">
        <v>65</v>
      </c>
      <c r="I74" s="22">
        <v>40739</v>
      </c>
    </row>
    <row r="75" spans="1:9" ht="15.6" x14ac:dyDescent="0.3">
      <c r="A75" s="18">
        <v>40739</v>
      </c>
      <c r="B75" s="19" t="s">
        <v>62</v>
      </c>
      <c r="C75" s="19" t="s">
        <v>63</v>
      </c>
      <c r="D75" s="19" t="s">
        <v>64</v>
      </c>
      <c r="E75" s="20">
        <v>35</v>
      </c>
      <c r="F75" s="21" t="s">
        <v>47</v>
      </c>
      <c r="G75" s="21" t="s">
        <v>66</v>
      </c>
      <c r="H75" s="21" t="s">
        <v>65</v>
      </c>
      <c r="I75" s="22">
        <v>40739</v>
      </c>
    </row>
    <row r="76" spans="1:9" ht="15.6" x14ac:dyDescent="0.3">
      <c r="A76" s="18">
        <v>40739</v>
      </c>
      <c r="B76" s="19" t="s">
        <v>67</v>
      </c>
      <c r="C76" s="19" t="s">
        <v>68</v>
      </c>
      <c r="D76" s="19" t="s">
        <v>69</v>
      </c>
      <c r="E76" s="20">
        <v>1000</v>
      </c>
      <c r="F76" s="21" t="s">
        <v>47</v>
      </c>
      <c r="G76" s="21" t="s">
        <v>48</v>
      </c>
      <c r="H76" s="21" t="s">
        <v>70</v>
      </c>
      <c r="I76" s="22">
        <v>40757</v>
      </c>
    </row>
    <row r="77" spans="1:9" ht="15.6" x14ac:dyDescent="0.3">
      <c r="A77" s="18">
        <v>40740</v>
      </c>
      <c r="B77" s="19" t="s">
        <v>71</v>
      </c>
      <c r="C77" s="19" t="s">
        <v>72</v>
      </c>
      <c r="D77" s="19" t="s">
        <v>73</v>
      </c>
      <c r="E77" s="20">
        <v>29</v>
      </c>
      <c r="F77" s="21" t="s">
        <v>47</v>
      </c>
      <c r="G77" s="21" t="s">
        <v>74</v>
      </c>
      <c r="H77" s="21" t="s">
        <v>75</v>
      </c>
      <c r="I77" s="22">
        <v>40740</v>
      </c>
    </row>
    <row r="78" spans="1:9" ht="15.6" x14ac:dyDescent="0.3">
      <c r="A78" s="18">
        <v>40741</v>
      </c>
      <c r="B78" s="19" t="s">
        <v>105</v>
      </c>
      <c r="C78" s="19" t="s">
        <v>124</v>
      </c>
      <c r="D78" s="19" t="s">
        <v>107</v>
      </c>
      <c r="E78" s="20">
        <v>937</v>
      </c>
      <c r="F78" s="21" t="s">
        <v>47</v>
      </c>
      <c r="G78" s="21" t="s">
        <v>48</v>
      </c>
      <c r="H78" s="21" t="s">
        <v>108</v>
      </c>
      <c r="I78" s="22">
        <v>40771</v>
      </c>
    </row>
    <row r="79" spans="1:9" ht="15.6" x14ac:dyDescent="0.3">
      <c r="A79" s="18">
        <v>40744</v>
      </c>
      <c r="B79" s="19" t="s">
        <v>80</v>
      </c>
      <c r="C79" s="19" t="s">
        <v>81</v>
      </c>
      <c r="D79" s="19" t="s">
        <v>82</v>
      </c>
      <c r="E79" s="20">
        <v>-20000</v>
      </c>
      <c r="F79" s="21" t="s">
        <v>83</v>
      </c>
      <c r="G79" s="21" t="s">
        <v>66</v>
      </c>
      <c r="H79" s="21" t="s">
        <v>84</v>
      </c>
      <c r="I79" s="22">
        <v>40744</v>
      </c>
    </row>
    <row r="80" spans="1:9" ht="15.6" x14ac:dyDescent="0.3">
      <c r="A80" s="18">
        <v>40744</v>
      </c>
      <c r="B80" s="19" t="s">
        <v>80</v>
      </c>
      <c r="C80" s="19" t="s">
        <v>81</v>
      </c>
      <c r="D80" s="19" t="s">
        <v>82</v>
      </c>
      <c r="E80" s="20">
        <v>20000</v>
      </c>
      <c r="F80" s="21" t="s">
        <v>83</v>
      </c>
      <c r="G80" s="21" t="s">
        <v>48</v>
      </c>
      <c r="H80" s="21" t="s">
        <v>84</v>
      </c>
      <c r="I80" s="22">
        <v>40744</v>
      </c>
    </row>
    <row r="81" spans="1:9" ht="15.6" x14ac:dyDescent="0.3">
      <c r="A81" s="18">
        <v>40749</v>
      </c>
      <c r="B81" s="19" t="s">
        <v>125</v>
      </c>
      <c r="C81" s="19" t="s">
        <v>126</v>
      </c>
      <c r="D81" s="19" t="s">
        <v>127</v>
      </c>
      <c r="E81" s="20">
        <v>2000</v>
      </c>
      <c r="F81" s="21" t="s">
        <v>47</v>
      </c>
      <c r="G81" s="21" t="s">
        <v>48</v>
      </c>
      <c r="H81" s="21" t="s">
        <v>57</v>
      </c>
      <c r="I81" s="22">
        <v>40779</v>
      </c>
    </row>
    <row r="82" spans="1:9" ht="15.6" x14ac:dyDescent="0.3">
      <c r="A82" s="18">
        <v>40750</v>
      </c>
      <c r="B82" s="19" t="s">
        <v>80</v>
      </c>
      <c r="C82" s="19" t="s">
        <v>85</v>
      </c>
      <c r="D82" s="19" t="s">
        <v>86</v>
      </c>
      <c r="E82" s="20">
        <v>20000</v>
      </c>
      <c r="F82" s="21" t="s">
        <v>83</v>
      </c>
      <c r="G82" s="21" t="s">
        <v>66</v>
      </c>
      <c r="H82" s="21" t="s">
        <v>87</v>
      </c>
      <c r="I82" s="22">
        <v>40750</v>
      </c>
    </row>
    <row r="83" spans="1:9" ht="15.6" x14ac:dyDescent="0.3">
      <c r="A83" s="18">
        <v>40750</v>
      </c>
      <c r="B83" s="19" t="s">
        <v>88</v>
      </c>
      <c r="C83" s="19" t="s">
        <v>59</v>
      </c>
      <c r="D83" s="19" t="s">
        <v>89</v>
      </c>
      <c r="E83" s="20">
        <v>220</v>
      </c>
      <c r="F83" s="21" t="s">
        <v>83</v>
      </c>
      <c r="G83" s="21" t="s">
        <v>48</v>
      </c>
      <c r="H83" s="21" t="s">
        <v>90</v>
      </c>
      <c r="I83" s="22">
        <v>40750</v>
      </c>
    </row>
    <row r="84" spans="1:9" ht="15.6" x14ac:dyDescent="0.3">
      <c r="A84" s="18">
        <v>40750</v>
      </c>
      <c r="B84" s="19" t="s">
        <v>88</v>
      </c>
      <c r="C84" s="19" t="s">
        <v>59</v>
      </c>
      <c r="D84" s="19" t="s">
        <v>91</v>
      </c>
      <c r="E84" s="20">
        <v>100</v>
      </c>
      <c r="F84" s="21" t="s">
        <v>83</v>
      </c>
      <c r="G84" s="21" t="s">
        <v>48</v>
      </c>
      <c r="H84" s="21" t="s">
        <v>92</v>
      </c>
      <c r="I84" s="22">
        <v>40750</v>
      </c>
    </row>
    <row r="85" spans="1:9" ht="15.6" x14ac:dyDescent="0.3">
      <c r="A85" s="18">
        <v>40750</v>
      </c>
      <c r="B85" s="19" t="s">
        <v>93</v>
      </c>
      <c r="C85" s="19" t="s">
        <v>59</v>
      </c>
      <c r="D85" s="19" t="s">
        <v>94</v>
      </c>
      <c r="E85" s="20">
        <v>6400</v>
      </c>
      <c r="F85" s="21" t="s">
        <v>47</v>
      </c>
      <c r="G85" s="21" t="s">
        <v>48</v>
      </c>
      <c r="H85" s="21" t="s">
        <v>95</v>
      </c>
      <c r="I85" s="22">
        <v>40750</v>
      </c>
    </row>
    <row r="86" spans="1:9" ht="15.6" x14ac:dyDescent="0.3">
      <c r="A86" s="18">
        <v>40755</v>
      </c>
      <c r="B86" s="19" t="s">
        <v>80</v>
      </c>
      <c r="C86" s="19" t="s">
        <v>63</v>
      </c>
      <c r="D86" s="19" t="s">
        <v>96</v>
      </c>
      <c r="E86" s="20">
        <v>50</v>
      </c>
      <c r="F86" s="21" t="s">
        <v>83</v>
      </c>
      <c r="G86" s="21" t="s">
        <v>48</v>
      </c>
      <c r="H86" s="21" t="s">
        <v>84</v>
      </c>
      <c r="I86" s="22">
        <v>40755</v>
      </c>
    </row>
    <row r="87" spans="1:9" ht="15.6" x14ac:dyDescent="0.3">
      <c r="A87" s="18">
        <v>40755</v>
      </c>
      <c r="B87" s="19" t="s">
        <v>80</v>
      </c>
      <c r="C87" s="19" t="s">
        <v>63</v>
      </c>
      <c r="D87" s="19" t="s">
        <v>96</v>
      </c>
      <c r="E87" s="20">
        <v>-50</v>
      </c>
      <c r="F87" s="21" t="s">
        <v>83</v>
      </c>
      <c r="G87" s="21" t="s">
        <v>74</v>
      </c>
      <c r="H87" s="21" t="s">
        <v>84</v>
      </c>
      <c r="I87" s="22">
        <v>40755</v>
      </c>
    </row>
    <row r="88" spans="1:9" ht="15.6" x14ac:dyDescent="0.3">
      <c r="A88" s="18">
        <v>40756</v>
      </c>
      <c r="B88" s="19" t="s">
        <v>50</v>
      </c>
      <c r="C88" s="19" t="s">
        <v>128</v>
      </c>
      <c r="D88" s="19" t="s">
        <v>52</v>
      </c>
      <c r="E88" s="20">
        <v>179</v>
      </c>
      <c r="F88" s="21" t="s">
        <v>47</v>
      </c>
      <c r="G88" s="21" t="s">
        <v>48</v>
      </c>
      <c r="H88" s="21" t="s">
        <v>53</v>
      </c>
      <c r="I88" s="22">
        <v>40786</v>
      </c>
    </row>
    <row r="89" spans="1:9" ht="15.6" x14ac:dyDescent="0.3">
      <c r="A89" s="18">
        <v>40760</v>
      </c>
      <c r="B89" s="19" t="s">
        <v>58</v>
      </c>
      <c r="C89" s="19" t="s">
        <v>59</v>
      </c>
      <c r="D89" s="19" t="s">
        <v>60</v>
      </c>
      <c r="E89" s="20">
        <v>340</v>
      </c>
      <c r="F89" s="21" t="s">
        <v>47</v>
      </c>
      <c r="G89" s="21" t="s">
        <v>48</v>
      </c>
      <c r="H89" s="21" t="s">
        <v>61</v>
      </c>
      <c r="I89" s="22">
        <v>40760</v>
      </c>
    </row>
    <row r="90" spans="1:9" ht="15.6" x14ac:dyDescent="0.3">
      <c r="A90" s="18">
        <v>40764</v>
      </c>
      <c r="B90" s="19" t="s">
        <v>71</v>
      </c>
      <c r="C90" s="19" t="s">
        <v>72</v>
      </c>
      <c r="D90" s="19" t="s">
        <v>73</v>
      </c>
      <c r="E90" s="20">
        <v>78</v>
      </c>
      <c r="F90" s="21" t="s">
        <v>47</v>
      </c>
      <c r="G90" s="21" t="s">
        <v>74</v>
      </c>
      <c r="H90" s="21" t="s">
        <v>75</v>
      </c>
      <c r="I90" s="22">
        <v>40764</v>
      </c>
    </row>
    <row r="91" spans="1:9" ht="15.6" x14ac:dyDescent="0.3">
      <c r="A91" s="18">
        <v>40768</v>
      </c>
      <c r="B91" s="19" t="s">
        <v>129</v>
      </c>
      <c r="C91" s="19" t="s">
        <v>130</v>
      </c>
      <c r="D91" s="19" t="s">
        <v>131</v>
      </c>
      <c r="E91" s="20">
        <v>747</v>
      </c>
      <c r="F91" s="21" t="s">
        <v>47</v>
      </c>
      <c r="G91" s="21" t="s">
        <v>48</v>
      </c>
      <c r="H91" s="21" t="s">
        <v>132</v>
      </c>
      <c r="I91" s="22">
        <v>40798</v>
      </c>
    </row>
    <row r="92" spans="1:9" ht="15.6" x14ac:dyDescent="0.3">
      <c r="A92" s="18">
        <v>40770</v>
      </c>
      <c r="B92" s="19" t="s">
        <v>62</v>
      </c>
      <c r="C92" s="19" t="s">
        <v>63</v>
      </c>
      <c r="D92" s="19" t="s">
        <v>64</v>
      </c>
      <c r="E92" s="20">
        <v>80</v>
      </c>
      <c r="F92" s="21" t="s">
        <v>47</v>
      </c>
      <c r="G92" s="21" t="s">
        <v>48</v>
      </c>
      <c r="H92" s="21" t="s">
        <v>65</v>
      </c>
      <c r="I92" s="22">
        <v>40770</v>
      </c>
    </row>
    <row r="93" spans="1:9" ht="15.6" x14ac:dyDescent="0.3">
      <c r="A93" s="18">
        <v>40770</v>
      </c>
      <c r="B93" s="19" t="s">
        <v>62</v>
      </c>
      <c r="C93" s="19" t="s">
        <v>63</v>
      </c>
      <c r="D93" s="19" t="s">
        <v>64</v>
      </c>
      <c r="E93" s="20">
        <v>35</v>
      </c>
      <c r="F93" s="21" t="s">
        <v>47</v>
      </c>
      <c r="G93" s="21" t="s">
        <v>66</v>
      </c>
      <c r="H93" s="21" t="s">
        <v>65</v>
      </c>
      <c r="I93" s="22">
        <v>40770</v>
      </c>
    </row>
    <row r="94" spans="1:9" ht="15.6" x14ac:dyDescent="0.3">
      <c r="A94" s="18">
        <v>40770</v>
      </c>
      <c r="B94" s="19" t="s">
        <v>67</v>
      </c>
      <c r="C94" s="19" t="s">
        <v>68</v>
      </c>
      <c r="D94" s="19" t="s">
        <v>69</v>
      </c>
      <c r="E94" s="20">
        <v>1000</v>
      </c>
      <c r="F94" s="21" t="s">
        <v>47</v>
      </c>
      <c r="G94" s="21" t="s">
        <v>48</v>
      </c>
      <c r="H94" s="21" t="s">
        <v>70</v>
      </c>
      <c r="I94" s="22">
        <v>40788</v>
      </c>
    </row>
    <row r="95" spans="1:9" ht="15.6" x14ac:dyDescent="0.3">
      <c r="A95" s="18">
        <v>40770</v>
      </c>
      <c r="B95" s="19" t="s">
        <v>120</v>
      </c>
      <c r="C95" s="19" t="s">
        <v>133</v>
      </c>
      <c r="D95" s="19" t="s">
        <v>122</v>
      </c>
      <c r="E95" s="20">
        <v>1278</v>
      </c>
      <c r="F95" s="21" t="s">
        <v>47</v>
      </c>
      <c r="G95" s="21" t="s">
        <v>48</v>
      </c>
      <c r="H95" s="21" t="s">
        <v>79</v>
      </c>
      <c r="I95" s="22">
        <v>40770</v>
      </c>
    </row>
    <row r="96" spans="1:9" ht="15.6" x14ac:dyDescent="0.3">
      <c r="A96" s="18">
        <v>40775</v>
      </c>
      <c r="B96" s="19" t="s">
        <v>80</v>
      </c>
      <c r="C96" s="19" t="s">
        <v>81</v>
      </c>
      <c r="D96" s="19" t="s">
        <v>82</v>
      </c>
      <c r="E96" s="20">
        <v>-20000</v>
      </c>
      <c r="F96" s="21" t="s">
        <v>83</v>
      </c>
      <c r="G96" s="21" t="s">
        <v>66</v>
      </c>
      <c r="H96" s="21" t="s">
        <v>84</v>
      </c>
      <c r="I96" s="22">
        <v>40775</v>
      </c>
    </row>
    <row r="97" spans="1:9" ht="15.6" x14ac:dyDescent="0.3">
      <c r="A97" s="18">
        <v>40775</v>
      </c>
      <c r="B97" s="19" t="s">
        <v>80</v>
      </c>
      <c r="C97" s="19" t="s">
        <v>81</v>
      </c>
      <c r="D97" s="19" t="s">
        <v>82</v>
      </c>
      <c r="E97" s="20">
        <v>20000</v>
      </c>
      <c r="F97" s="21" t="s">
        <v>83</v>
      </c>
      <c r="G97" s="21" t="s">
        <v>48</v>
      </c>
      <c r="H97" s="21" t="s">
        <v>84</v>
      </c>
      <c r="I97" s="22">
        <v>40775</v>
      </c>
    </row>
    <row r="98" spans="1:9" ht="15.6" x14ac:dyDescent="0.3">
      <c r="A98" s="18">
        <v>40776</v>
      </c>
      <c r="B98" s="19" t="s">
        <v>134</v>
      </c>
      <c r="C98" s="19" t="s">
        <v>135</v>
      </c>
      <c r="D98" s="19" t="s">
        <v>136</v>
      </c>
      <c r="E98" s="20">
        <v>3750</v>
      </c>
      <c r="F98" s="21" t="s">
        <v>83</v>
      </c>
      <c r="G98" s="21" t="s">
        <v>48</v>
      </c>
      <c r="H98" s="21" t="s">
        <v>137</v>
      </c>
      <c r="I98" s="22">
        <v>40776</v>
      </c>
    </row>
    <row r="99" spans="1:9" ht="15.6" x14ac:dyDescent="0.3">
      <c r="A99" s="18">
        <v>40780</v>
      </c>
      <c r="B99" s="19" t="s">
        <v>98</v>
      </c>
      <c r="C99" s="19" t="s">
        <v>99</v>
      </c>
      <c r="D99" s="19" t="s">
        <v>100</v>
      </c>
      <c r="E99" s="20">
        <v>6600</v>
      </c>
      <c r="F99" s="21" t="s">
        <v>83</v>
      </c>
      <c r="G99" s="21" t="s">
        <v>48</v>
      </c>
      <c r="H99" s="21" t="s">
        <v>101</v>
      </c>
      <c r="I99" s="22">
        <v>40780</v>
      </c>
    </row>
    <row r="100" spans="1:9" ht="15.6" x14ac:dyDescent="0.3">
      <c r="A100" s="18">
        <v>40781</v>
      </c>
      <c r="B100" s="19" t="s">
        <v>80</v>
      </c>
      <c r="C100" s="19" t="s">
        <v>85</v>
      </c>
      <c r="D100" s="19" t="s">
        <v>86</v>
      </c>
      <c r="E100" s="20">
        <v>20000</v>
      </c>
      <c r="F100" s="21" t="s">
        <v>83</v>
      </c>
      <c r="G100" s="21" t="s">
        <v>66</v>
      </c>
      <c r="H100" s="21" t="s">
        <v>87</v>
      </c>
      <c r="I100" s="22">
        <v>40781</v>
      </c>
    </row>
    <row r="101" spans="1:9" ht="15.6" x14ac:dyDescent="0.3">
      <c r="A101" s="18">
        <v>40781</v>
      </c>
      <c r="B101" s="19" t="s">
        <v>88</v>
      </c>
      <c r="C101" s="19" t="s">
        <v>59</v>
      </c>
      <c r="D101" s="19" t="s">
        <v>89</v>
      </c>
      <c r="E101" s="20">
        <v>220</v>
      </c>
      <c r="F101" s="21" t="s">
        <v>83</v>
      </c>
      <c r="G101" s="21" t="s">
        <v>48</v>
      </c>
      <c r="H101" s="21" t="s">
        <v>90</v>
      </c>
      <c r="I101" s="22">
        <v>40781</v>
      </c>
    </row>
    <row r="102" spans="1:9" ht="15.6" x14ac:dyDescent="0.3">
      <c r="A102" s="18">
        <v>40781</v>
      </c>
      <c r="B102" s="19" t="s">
        <v>88</v>
      </c>
      <c r="C102" s="19" t="s">
        <v>59</v>
      </c>
      <c r="D102" s="19" t="s">
        <v>91</v>
      </c>
      <c r="E102" s="20">
        <v>100</v>
      </c>
      <c r="F102" s="21" t="s">
        <v>83</v>
      </c>
      <c r="G102" s="21" t="s">
        <v>48</v>
      </c>
      <c r="H102" s="21" t="s">
        <v>92</v>
      </c>
      <c r="I102" s="22">
        <v>40781</v>
      </c>
    </row>
    <row r="103" spans="1:9" ht="15.6" x14ac:dyDescent="0.3">
      <c r="A103" s="18">
        <v>40781</v>
      </c>
      <c r="B103" s="19" t="s">
        <v>93</v>
      </c>
      <c r="C103" s="19" t="s">
        <v>59</v>
      </c>
      <c r="D103" s="19" t="s">
        <v>94</v>
      </c>
      <c r="E103" s="20">
        <v>6400</v>
      </c>
      <c r="F103" s="21" t="s">
        <v>47</v>
      </c>
      <c r="G103" s="21" t="s">
        <v>48</v>
      </c>
      <c r="H103" s="21" t="s">
        <v>95</v>
      </c>
      <c r="I103" s="22">
        <v>40781</v>
      </c>
    </row>
    <row r="104" spans="1:9" ht="15.6" x14ac:dyDescent="0.3">
      <c r="A104" s="18">
        <v>40782</v>
      </c>
      <c r="B104" s="19" t="s">
        <v>116</v>
      </c>
      <c r="C104" s="19" t="s">
        <v>68</v>
      </c>
      <c r="D104" s="19" t="s">
        <v>117</v>
      </c>
      <c r="E104" s="20">
        <v>234</v>
      </c>
      <c r="F104" s="21" t="s">
        <v>47</v>
      </c>
      <c r="G104" s="21" t="s">
        <v>48</v>
      </c>
      <c r="H104" s="21" t="s">
        <v>118</v>
      </c>
      <c r="I104" s="22">
        <v>40812</v>
      </c>
    </row>
    <row r="105" spans="1:9" ht="15.6" x14ac:dyDescent="0.3">
      <c r="A105" s="18">
        <v>40786</v>
      </c>
      <c r="B105" s="19" t="s">
        <v>80</v>
      </c>
      <c r="C105" s="19" t="s">
        <v>63</v>
      </c>
      <c r="D105" s="19" t="s">
        <v>96</v>
      </c>
      <c r="E105" s="20">
        <v>50</v>
      </c>
      <c r="F105" s="21" t="s">
        <v>83</v>
      </c>
      <c r="G105" s="21" t="s">
        <v>48</v>
      </c>
      <c r="H105" s="21" t="s">
        <v>84</v>
      </c>
      <c r="I105" s="22">
        <v>40786</v>
      </c>
    </row>
    <row r="106" spans="1:9" ht="15.6" x14ac:dyDescent="0.3">
      <c r="A106" s="18">
        <v>40786</v>
      </c>
      <c r="B106" s="19" t="s">
        <v>80</v>
      </c>
      <c r="C106" s="19" t="s">
        <v>63</v>
      </c>
      <c r="D106" s="19" t="s">
        <v>96</v>
      </c>
      <c r="E106" s="20">
        <v>-50</v>
      </c>
      <c r="F106" s="21" t="s">
        <v>83</v>
      </c>
      <c r="G106" s="21" t="s">
        <v>74</v>
      </c>
      <c r="H106" s="21" t="s">
        <v>84</v>
      </c>
      <c r="I106" s="22">
        <v>40786</v>
      </c>
    </row>
    <row r="107" spans="1:9" ht="15.6" x14ac:dyDescent="0.3">
      <c r="A107" s="18">
        <v>40786</v>
      </c>
      <c r="B107" s="19" t="s">
        <v>98</v>
      </c>
      <c r="C107" s="19" t="s">
        <v>99</v>
      </c>
      <c r="D107" s="19" t="s">
        <v>138</v>
      </c>
      <c r="E107" s="20">
        <v>2600</v>
      </c>
      <c r="F107" s="21" t="s">
        <v>83</v>
      </c>
      <c r="G107" s="21" t="s">
        <v>48</v>
      </c>
      <c r="H107" s="21" t="s">
        <v>139</v>
      </c>
      <c r="I107" s="22">
        <v>40786</v>
      </c>
    </row>
    <row r="108" spans="1:9" ht="15.6" x14ac:dyDescent="0.3">
      <c r="A108" s="18">
        <v>40787</v>
      </c>
      <c r="B108" s="19" t="s">
        <v>50</v>
      </c>
      <c r="C108" s="19" t="s">
        <v>140</v>
      </c>
      <c r="D108" s="19" t="s">
        <v>52</v>
      </c>
      <c r="E108" s="20">
        <v>179</v>
      </c>
      <c r="F108" s="21" t="s">
        <v>47</v>
      </c>
      <c r="G108" s="21" t="s">
        <v>48</v>
      </c>
      <c r="H108" s="21" t="s">
        <v>53</v>
      </c>
      <c r="I108" s="22">
        <v>40817</v>
      </c>
    </row>
    <row r="109" spans="1:9" ht="15.6" x14ac:dyDescent="0.3">
      <c r="A109" s="18">
        <v>40791</v>
      </c>
      <c r="B109" s="19" t="s">
        <v>58</v>
      </c>
      <c r="C109" s="19" t="s">
        <v>59</v>
      </c>
      <c r="D109" s="19" t="s">
        <v>60</v>
      </c>
      <c r="E109" s="20">
        <v>340</v>
      </c>
      <c r="F109" s="21" t="s">
        <v>47</v>
      </c>
      <c r="G109" s="21" t="s">
        <v>48</v>
      </c>
      <c r="H109" s="21" t="s">
        <v>61</v>
      </c>
      <c r="I109" s="22">
        <v>40791</v>
      </c>
    </row>
    <row r="110" spans="1:9" ht="15.6" x14ac:dyDescent="0.3">
      <c r="A110" s="18">
        <v>40799</v>
      </c>
      <c r="B110" s="19" t="s">
        <v>110</v>
      </c>
      <c r="C110" s="19" t="s">
        <v>68</v>
      </c>
      <c r="D110" s="19" t="s">
        <v>111</v>
      </c>
      <c r="E110" s="20">
        <v>277.48</v>
      </c>
      <c r="F110" s="21" t="s">
        <v>47</v>
      </c>
      <c r="G110" s="21" t="s">
        <v>48</v>
      </c>
      <c r="H110" s="21" t="s">
        <v>112</v>
      </c>
      <c r="I110" s="22">
        <v>40829</v>
      </c>
    </row>
    <row r="111" spans="1:9" ht="15.6" x14ac:dyDescent="0.3">
      <c r="A111" s="18">
        <v>40801</v>
      </c>
      <c r="B111" s="19" t="s">
        <v>62</v>
      </c>
      <c r="C111" s="19" t="s">
        <v>63</v>
      </c>
      <c r="D111" s="19" t="s">
        <v>64</v>
      </c>
      <c r="E111" s="20">
        <v>80</v>
      </c>
      <c r="F111" s="21" t="s">
        <v>47</v>
      </c>
      <c r="G111" s="21" t="s">
        <v>48</v>
      </c>
      <c r="H111" s="21" t="s">
        <v>65</v>
      </c>
      <c r="I111" s="22">
        <v>40801</v>
      </c>
    </row>
    <row r="112" spans="1:9" ht="15.6" x14ac:dyDescent="0.3">
      <c r="A112" s="18">
        <v>40801</v>
      </c>
      <c r="B112" s="19" t="s">
        <v>62</v>
      </c>
      <c r="C112" s="19" t="s">
        <v>63</v>
      </c>
      <c r="D112" s="19" t="s">
        <v>64</v>
      </c>
      <c r="E112" s="20">
        <v>35</v>
      </c>
      <c r="F112" s="21" t="s">
        <v>47</v>
      </c>
      <c r="G112" s="21" t="s">
        <v>66</v>
      </c>
      <c r="H112" s="21" t="s">
        <v>65</v>
      </c>
      <c r="I112" s="22">
        <v>40801</v>
      </c>
    </row>
    <row r="113" spans="1:9" ht="15.6" x14ac:dyDescent="0.3">
      <c r="A113" s="18">
        <v>40801</v>
      </c>
      <c r="B113" s="19" t="s">
        <v>67</v>
      </c>
      <c r="C113" s="19" t="s">
        <v>68</v>
      </c>
      <c r="D113" s="19" t="s">
        <v>69</v>
      </c>
      <c r="E113" s="20">
        <v>1000</v>
      </c>
      <c r="F113" s="21" t="s">
        <v>47</v>
      </c>
      <c r="G113" s="21" t="s">
        <v>48</v>
      </c>
      <c r="H113" s="21" t="s">
        <v>70</v>
      </c>
      <c r="I113" s="22">
        <v>40819</v>
      </c>
    </row>
    <row r="114" spans="1:9" ht="15.6" x14ac:dyDescent="0.3">
      <c r="A114" s="18">
        <v>40804</v>
      </c>
      <c r="B114" s="19" t="s">
        <v>141</v>
      </c>
      <c r="C114" s="19" t="s">
        <v>142</v>
      </c>
      <c r="D114" s="19" t="s">
        <v>143</v>
      </c>
      <c r="E114" s="20">
        <v>5620</v>
      </c>
      <c r="F114" s="21" t="s">
        <v>47</v>
      </c>
      <c r="G114" s="21" t="s">
        <v>48</v>
      </c>
      <c r="H114" s="21" t="s">
        <v>144</v>
      </c>
      <c r="I114" s="22">
        <v>40804</v>
      </c>
    </row>
    <row r="115" spans="1:9" ht="15.6" x14ac:dyDescent="0.3">
      <c r="A115" s="18">
        <v>40804</v>
      </c>
      <c r="B115" s="19" t="s">
        <v>145</v>
      </c>
      <c r="C115" s="19" t="s">
        <v>68</v>
      </c>
      <c r="D115" s="19" t="s">
        <v>146</v>
      </c>
      <c r="E115" s="20">
        <v>12500</v>
      </c>
      <c r="F115" s="21" t="s">
        <v>47</v>
      </c>
      <c r="G115" s="21" t="s">
        <v>48</v>
      </c>
      <c r="H115" s="21" t="s">
        <v>147</v>
      </c>
      <c r="I115" s="22">
        <v>40804</v>
      </c>
    </row>
    <row r="116" spans="1:9" ht="15.6" x14ac:dyDescent="0.3">
      <c r="A116" s="18">
        <v>40806</v>
      </c>
      <c r="B116" s="19" t="s">
        <v>80</v>
      </c>
      <c r="C116" s="19" t="s">
        <v>81</v>
      </c>
      <c r="D116" s="19" t="s">
        <v>82</v>
      </c>
      <c r="E116" s="20">
        <v>-20000</v>
      </c>
      <c r="F116" s="21" t="s">
        <v>83</v>
      </c>
      <c r="G116" s="21" t="s">
        <v>66</v>
      </c>
      <c r="H116" s="21" t="s">
        <v>84</v>
      </c>
      <c r="I116" s="22">
        <v>40806</v>
      </c>
    </row>
    <row r="117" spans="1:9" ht="15.6" x14ac:dyDescent="0.3">
      <c r="A117" s="18">
        <v>40806</v>
      </c>
      <c r="B117" s="19" t="s">
        <v>80</v>
      </c>
      <c r="C117" s="19" t="s">
        <v>81</v>
      </c>
      <c r="D117" s="19" t="s">
        <v>82</v>
      </c>
      <c r="E117" s="20">
        <v>20000</v>
      </c>
      <c r="F117" s="21" t="s">
        <v>83</v>
      </c>
      <c r="G117" s="21" t="s">
        <v>48</v>
      </c>
      <c r="H117" s="21" t="s">
        <v>84</v>
      </c>
      <c r="I117" s="22">
        <v>40806</v>
      </c>
    </row>
    <row r="118" spans="1:9" ht="15.6" x14ac:dyDescent="0.3">
      <c r="A118" s="18">
        <v>40807</v>
      </c>
      <c r="B118" s="19" t="s">
        <v>71</v>
      </c>
      <c r="C118" s="19" t="s">
        <v>72</v>
      </c>
      <c r="D118" s="19" t="s">
        <v>73</v>
      </c>
      <c r="E118" s="20">
        <v>90</v>
      </c>
      <c r="F118" s="21" t="s">
        <v>47</v>
      </c>
      <c r="G118" s="21" t="s">
        <v>74</v>
      </c>
      <c r="H118" s="21" t="s">
        <v>75</v>
      </c>
      <c r="I118" s="22">
        <v>40807</v>
      </c>
    </row>
    <row r="119" spans="1:9" ht="15.6" x14ac:dyDescent="0.3">
      <c r="A119" s="18">
        <v>40810</v>
      </c>
      <c r="B119" s="19" t="s">
        <v>129</v>
      </c>
      <c r="C119" s="19" t="s">
        <v>148</v>
      </c>
      <c r="D119" s="19" t="s">
        <v>131</v>
      </c>
      <c r="E119" s="20">
        <v>4242</v>
      </c>
      <c r="F119" s="21" t="s">
        <v>47</v>
      </c>
      <c r="G119" s="21" t="s">
        <v>48</v>
      </c>
      <c r="H119" s="21" t="s">
        <v>132</v>
      </c>
      <c r="I119" s="22">
        <v>40840</v>
      </c>
    </row>
    <row r="120" spans="1:9" ht="15.6" x14ac:dyDescent="0.3">
      <c r="A120" s="18">
        <v>40812</v>
      </c>
      <c r="B120" s="19" t="s">
        <v>80</v>
      </c>
      <c r="C120" s="19" t="s">
        <v>85</v>
      </c>
      <c r="D120" s="19" t="s">
        <v>86</v>
      </c>
      <c r="E120" s="20">
        <v>20000</v>
      </c>
      <c r="F120" s="21" t="s">
        <v>83</v>
      </c>
      <c r="G120" s="21" t="s">
        <v>66</v>
      </c>
      <c r="H120" s="21" t="s">
        <v>87</v>
      </c>
      <c r="I120" s="22">
        <v>40812</v>
      </c>
    </row>
    <row r="121" spans="1:9" ht="15.6" x14ac:dyDescent="0.3">
      <c r="A121" s="18">
        <v>40812</v>
      </c>
      <c r="B121" s="19" t="s">
        <v>88</v>
      </c>
      <c r="C121" s="19" t="s">
        <v>59</v>
      </c>
      <c r="D121" s="19" t="s">
        <v>89</v>
      </c>
      <c r="E121" s="20">
        <v>220</v>
      </c>
      <c r="F121" s="21" t="s">
        <v>83</v>
      </c>
      <c r="G121" s="21" t="s">
        <v>48</v>
      </c>
      <c r="H121" s="21" t="s">
        <v>90</v>
      </c>
      <c r="I121" s="22">
        <v>40812</v>
      </c>
    </row>
    <row r="122" spans="1:9" ht="15.6" x14ac:dyDescent="0.3">
      <c r="A122" s="18">
        <v>40812</v>
      </c>
      <c r="B122" s="19" t="s">
        <v>88</v>
      </c>
      <c r="C122" s="19" t="s">
        <v>59</v>
      </c>
      <c r="D122" s="19" t="s">
        <v>91</v>
      </c>
      <c r="E122" s="20">
        <v>100</v>
      </c>
      <c r="F122" s="21" t="s">
        <v>83</v>
      </c>
      <c r="G122" s="21" t="s">
        <v>48</v>
      </c>
      <c r="H122" s="21" t="s">
        <v>92</v>
      </c>
      <c r="I122" s="22">
        <v>40812</v>
      </c>
    </row>
    <row r="123" spans="1:9" ht="15.6" x14ac:dyDescent="0.3">
      <c r="A123" s="18">
        <v>40812</v>
      </c>
      <c r="B123" s="19" t="s">
        <v>93</v>
      </c>
      <c r="C123" s="19" t="s">
        <v>59</v>
      </c>
      <c r="D123" s="19" t="s">
        <v>94</v>
      </c>
      <c r="E123" s="20">
        <v>6400</v>
      </c>
      <c r="F123" s="21" t="s">
        <v>47</v>
      </c>
      <c r="G123" s="21" t="s">
        <v>48</v>
      </c>
      <c r="H123" s="21" t="s">
        <v>95</v>
      </c>
      <c r="I123" s="22">
        <v>40812</v>
      </c>
    </row>
    <row r="124" spans="1:9" ht="15.6" x14ac:dyDescent="0.3">
      <c r="A124" s="18">
        <v>40816</v>
      </c>
      <c r="B124" s="19" t="s">
        <v>80</v>
      </c>
      <c r="C124" s="19" t="s">
        <v>63</v>
      </c>
      <c r="D124" s="19" t="s">
        <v>96</v>
      </c>
      <c r="E124" s="20">
        <v>100</v>
      </c>
      <c r="F124" s="21" t="s">
        <v>83</v>
      </c>
      <c r="G124" s="21" t="s">
        <v>48</v>
      </c>
      <c r="H124" s="21" t="s">
        <v>84</v>
      </c>
      <c r="I124" s="22">
        <v>40816</v>
      </c>
    </row>
    <row r="125" spans="1:9" ht="15.6" x14ac:dyDescent="0.3">
      <c r="A125" s="18">
        <v>40816</v>
      </c>
      <c r="B125" s="19" t="s">
        <v>80</v>
      </c>
      <c r="C125" s="19" t="s">
        <v>63</v>
      </c>
      <c r="D125" s="19" t="s">
        <v>96</v>
      </c>
      <c r="E125" s="20">
        <v>-100</v>
      </c>
      <c r="F125" s="21" t="s">
        <v>83</v>
      </c>
      <c r="G125" s="21" t="s">
        <v>74</v>
      </c>
      <c r="H125" s="21" t="s">
        <v>84</v>
      </c>
      <c r="I125" s="22">
        <v>40816</v>
      </c>
    </row>
    <row r="126" spans="1:9" ht="15.6" x14ac:dyDescent="0.3">
      <c r="A126" s="18">
        <v>40817</v>
      </c>
      <c r="B126" s="19" t="s">
        <v>50</v>
      </c>
      <c r="C126" s="19" t="s">
        <v>149</v>
      </c>
      <c r="D126" s="19" t="s">
        <v>52</v>
      </c>
      <c r="E126" s="20">
        <v>179</v>
      </c>
      <c r="F126" s="21" t="s">
        <v>47</v>
      </c>
      <c r="G126" s="21" t="s">
        <v>48</v>
      </c>
      <c r="H126" s="21" t="s">
        <v>53</v>
      </c>
      <c r="I126" s="22">
        <v>40847</v>
      </c>
    </row>
    <row r="127" spans="1:9" ht="15.6" x14ac:dyDescent="0.3">
      <c r="A127" s="18">
        <v>40820</v>
      </c>
      <c r="B127" s="19" t="s">
        <v>105</v>
      </c>
      <c r="C127" s="19" t="s">
        <v>150</v>
      </c>
      <c r="D127" s="19" t="s">
        <v>107</v>
      </c>
      <c r="E127" s="20">
        <v>62</v>
      </c>
      <c r="F127" s="21" t="s">
        <v>47</v>
      </c>
      <c r="G127" s="21" t="s">
        <v>74</v>
      </c>
      <c r="H127" s="21" t="s">
        <v>108</v>
      </c>
      <c r="I127" s="22">
        <v>40850</v>
      </c>
    </row>
    <row r="128" spans="1:9" ht="15.6" x14ac:dyDescent="0.3">
      <c r="A128" s="18">
        <v>40820</v>
      </c>
      <c r="B128" s="19" t="s">
        <v>120</v>
      </c>
      <c r="C128" s="19" t="s">
        <v>151</v>
      </c>
      <c r="D128" s="19" t="s">
        <v>122</v>
      </c>
      <c r="E128" s="20">
        <v>1887</v>
      </c>
      <c r="F128" s="21" t="s">
        <v>47</v>
      </c>
      <c r="G128" s="21" t="s">
        <v>48</v>
      </c>
      <c r="H128" s="21" t="s">
        <v>79</v>
      </c>
      <c r="I128" s="22">
        <v>40820</v>
      </c>
    </row>
    <row r="129" spans="1:9" ht="15.6" x14ac:dyDescent="0.3">
      <c r="A129" s="18">
        <v>40821</v>
      </c>
      <c r="B129" s="19" t="s">
        <v>58</v>
      </c>
      <c r="C129" s="19" t="s">
        <v>59</v>
      </c>
      <c r="D129" s="19" t="s">
        <v>60</v>
      </c>
      <c r="E129" s="20">
        <v>340</v>
      </c>
      <c r="F129" s="21" t="s">
        <v>47</v>
      </c>
      <c r="G129" s="21" t="s">
        <v>48</v>
      </c>
      <c r="H129" s="21" t="s">
        <v>61</v>
      </c>
      <c r="I129" s="22">
        <v>40821</v>
      </c>
    </row>
    <row r="130" spans="1:9" ht="15.6" x14ac:dyDescent="0.3">
      <c r="A130" s="18">
        <v>40831</v>
      </c>
      <c r="B130" s="19" t="s">
        <v>62</v>
      </c>
      <c r="C130" s="19" t="s">
        <v>63</v>
      </c>
      <c r="D130" s="19" t="s">
        <v>64</v>
      </c>
      <c r="E130" s="20">
        <v>80</v>
      </c>
      <c r="F130" s="21" t="s">
        <v>47</v>
      </c>
      <c r="G130" s="21" t="s">
        <v>48</v>
      </c>
      <c r="H130" s="21" t="s">
        <v>65</v>
      </c>
      <c r="I130" s="22">
        <v>40831</v>
      </c>
    </row>
    <row r="131" spans="1:9" ht="15.6" x14ac:dyDescent="0.3">
      <c r="A131" s="18">
        <v>40831</v>
      </c>
      <c r="B131" s="19" t="s">
        <v>62</v>
      </c>
      <c r="C131" s="19" t="s">
        <v>63</v>
      </c>
      <c r="D131" s="19" t="s">
        <v>64</v>
      </c>
      <c r="E131" s="20">
        <v>35</v>
      </c>
      <c r="F131" s="21" t="s">
        <v>47</v>
      </c>
      <c r="G131" s="21" t="s">
        <v>66</v>
      </c>
      <c r="H131" s="21" t="s">
        <v>65</v>
      </c>
      <c r="I131" s="22">
        <v>40831</v>
      </c>
    </row>
    <row r="132" spans="1:9" ht="15.6" x14ac:dyDescent="0.3">
      <c r="A132" s="18">
        <v>40831</v>
      </c>
      <c r="B132" s="19" t="s">
        <v>67</v>
      </c>
      <c r="C132" s="19" t="s">
        <v>68</v>
      </c>
      <c r="D132" s="19" t="s">
        <v>69</v>
      </c>
      <c r="E132" s="20">
        <v>1000</v>
      </c>
      <c r="F132" s="21" t="s">
        <v>47</v>
      </c>
      <c r="G132" s="21" t="s">
        <v>48</v>
      </c>
      <c r="H132" s="21" t="s">
        <v>70</v>
      </c>
      <c r="I132" s="22">
        <v>40849</v>
      </c>
    </row>
    <row r="133" spans="1:9" ht="15.6" x14ac:dyDescent="0.3">
      <c r="A133" s="18">
        <v>40836</v>
      </c>
      <c r="B133" s="19" t="s">
        <v>80</v>
      </c>
      <c r="C133" s="19" t="s">
        <v>81</v>
      </c>
      <c r="D133" s="19" t="s">
        <v>82</v>
      </c>
      <c r="E133" s="20">
        <v>-20000</v>
      </c>
      <c r="F133" s="21" t="s">
        <v>83</v>
      </c>
      <c r="G133" s="21" t="s">
        <v>66</v>
      </c>
      <c r="H133" s="21" t="s">
        <v>84</v>
      </c>
      <c r="I133" s="22">
        <v>40836</v>
      </c>
    </row>
    <row r="134" spans="1:9" ht="15.6" x14ac:dyDescent="0.3">
      <c r="A134" s="18">
        <v>40836</v>
      </c>
      <c r="B134" s="19" t="s">
        <v>80</v>
      </c>
      <c r="C134" s="19" t="s">
        <v>81</v>
      </c>
      <c r="D134" s="19" t="s">
        <v>82</v>
      </c>
      <c r="E134" s="20">
        <v>20000</v>
      </c>
      <c r="F134" s="21" t="s">
        <v>83</v>
      </c>
      <c r="G134" s="21" t="s">
        <v>48</v>
      </c>
      <c r="H134" s="21" t="s">
        <v>84</v>
      </c>
      <c r="I134" s="22">
        <v>40836</v>
      </c>
    </row>
    <row r="135" spans="1:9" ht="15.6" x14ac:dyDescent="0.3">
      <c r="A135" s="18">
        <v>40838</v>
      </c>
      <c r="B135" s="19" t="s">
        <v>116</v>
      </c>
      <c r="C135" s="19" t="s">
        <v>68</v>
      </c>
      <c r="D135" s="19" t="s">
        <v>117</v>
      </c>
      <c r="E135" s="20">
        <v>289</v>
      </c>
      <c r="F135" s="21" t="s">
        <v>47</v>
      </c>
      <c r="G135" s="21" t="s">
        <v>48</v>
      </c>
      <c r="H135" s="21" t="s">
        <v>118</v>
      </c>
      <c r="I135" s="22">
        <v>40868</v>
      </c>
    </row>
    <row r="136" spans="1:9" ht="15.6" x14ac:dyDescent="0.3">
      <c r="A136" s="18">
        <v>40841</v>
      </c>
      <c r="B136" s="19" t="s">
        <v>98</v>
      </c>
      <c r="C136" s="19" t="s">
        <v>99</v>
      </c>
      <c r="D136" s="19" t="s">
        <v>100</v>
      </c>
      <c r="E136" s="20">
        <v>3300</v>
      </c>
      <c r="F136" s="21" t="s">
        <v>83</v>
      </c>
      <c r="G136" s="21" t="s">
        <v>48</v>
      </c>
      <c r="H136" s="21" t="s">
        <v>101</v>
      </c>
      <c r="I136" s="22">
        <v>40841</v>
      </c>
    </row>
    <row r="137" spans="1:9" ht="15.6" x14ac:dyDescent="0.3">
      <c r="A137" s="18">
        <v>40842</v>
      </c>
      <c r="B137" s="19" t="s">
        <v>80</v>
      </c>
      <c r="C137" s="19" t="s">
        <v>85</v>
      </c>
      <c r="D137" s="19" t="s">
        <v>86</v>
      </c>
      <c r="E137" s="20">
        <v>20000</v>
      </c>
      <c r="F137" s="21" t="s">
        <v>83</v>
      </c>
      <c r="G137" s="21" t="s">
        <v>66</v>
      </c>
      <c r="H137" s="21" t="s">
        <v>87</v>
      </c>
      <c r="I137" s="22">
        <v>40842</v>
      </c>
    </row>
    <row r="138" spans="1:9" ht="15.6" x14ac:dyDescent="0.3">
      <c r="A138" s="18">
        <v>40842</v>
      </c>
      <c r="B138" s="19" t="s">
        <v>88</v>
      </c>
      <c r="C138" s="19" t="s">
        <v>59</v>
      </c>
      <c r="D138" s="19" t="s">
        <v>89</v>
      </c>
      <c r="E138" s="20">
        <v>220</v>
      </c>
      <c r="F138" s="21" t="s">
        <v>83</v>
      </c>
      <c r="G138" s="21" t="s">
        <v>48</v>
      </c>
      <c r="H138" s="21" t="s">
        <v>90</v>
      </c>
      <c r="I138" s="22">
        <v>40842</v>
      </c>
    </row>
    <row r="139" spans="1:9" ht="15.6" x14ac:dyDescent="0.3">
      <c r="A139" s="18">
        <v>40842</v>
      </c>
      <c r="B139" s="19" t="s">
        <v>88</v>
      </c>
      <c r="C139" s="19" t="s">
        <v>59</v>
      </c>
      <c r="D139" s="19" t="s">
        <v>91</v>
      </c>
      <c r="E139" s="20">
        <v>100</v>
      </c>
      <c r="F139" s="21" t="s">
        <v>83</v>
      </c>
      <c r="G139" s="21" t="s">
        <v>48</v>
      </c>
      <c r="H139" s="21" t="s">
        <v>92</v>
      </c>
      <c r="I139" s="22">
        <v>40842</v>
      </c>
    </row>
    <row r="140" spans="1:9" ht="15.6" x14ac:dyDescent="0.3">
      <c r="A140" s="18">
        <v>40842</v>
      </c>
      <c r="B140" s="19" t="s">
        <v>93</v>
      </c>
      <c r="C140" s="19" t="s">
        <v>59</v>
      </c>
      <c r="D140" s="19" t="s">
        <v>94</v>
      </c>
      <c r="E140" s="20">
        <v>6400</v>
      </c>
      <c r="F140" s="21" t="s">
        <v>47</v>
      </c>
      <c r="G140" s="21" t="s">
        <v>48</v>
      </c>
      <c r="H140" s="21" t="s">
        <v>95</v>
      </c>
      <c r="I140" s="22">
        <v>40842</v>
      </c>
    </row>
    <row r="141" spans="1:9" ht="15.6" x14ac:dyDescent="0.3">
      <c r="A141" s="18">
        <v>40844</v>
      </c>
      <c r="B141" s="19" t="s">
        <v>71</v>
      </c>
      <c r="C141" s="19" t="s">
        <v>72</v>
      </c>
      <c r="D141" s="19" t="s">
        <v>73</v>
      </c>
      <c r="E141" s="20">
        <v>218</v>
      </c>
      <c r="F141" s="21" t="s">
        <v>47</v>
      </c>
      <c r="G141" s="21" t="s">
        <v>74</v>
      </c>
      <c r="H141" s="21" t="s">
        <v>75</v>
      </c>
      <c r="I141" s="22">
        <v>40844</v>
      </c>
    </row>
    <row r="142" spans="1:9" ht="15.6" x14ac:dyDescent="0.3">
      <c r="A142" s="18">
        <v>40847</v>
      </c>
      <c r="B142" s="19" t="s">
        <v>80</v>
      </c>
      <c r="C142" s="19" t="s">
        <v>63</v>
      </c>
      <c r="D142" s="19" t="s">
        <v>96</v>
      </c>
      <c r="E142" s="20">
        <v>200</v>
      </c>
      <c r="F142" s="21" t="s">
        <v>83</v>
      </c>
      <c r="G142" s="21" t="s">
        <v>48</v>
      </c>
      <c r="H142" s="21" t="s">
        <v>84</v>
      </c>
      <c r="I142" s="22">
        <v>40847</v>
      </c>
    </row>
    <row r="143" spans="1:9" ht="15.6" x14ac:dyDescent="0.3">
      <c r="A143" s="18">
        <v>40847</v>
      </c>
      <c r="B143" s="19" t="s">
        <v>80</v>
      </c>
      <c r="C143" s="19" t="s">
        <v>63</v>
      </c>
      <c r="D143" s="19" t="s">
        <v>96</v>
      </c>
      <c r="E143" s="20">
        <v>-200</v>
      </c>
      <c r="F143" s="21" t="s">
        <v>83</v>
      </c>
      <c r="G143" s="21" t="s">
        <v>74</v>
      </c>
      <c r="H143" s="21" t="s">
        <v>84</v>
      </c>
      <c r="I143" s="22">
        <v>40847</v>
      </c>
    </row>
    <row r="144" spans="1:9" ht="15.6" x14ac:dyDescent="0.3">
      <c r="A144" s="18">
        <v>40848</v>
      </c>
      <c r="B144" s="19" t="s">
        <v>50</v>
      </c>
      <c r="C144" s="19" t="s">
        <v>152</v>
      </c>
      <c r="D144" s="19" t="s">
        <v>52</v>
      </c>
      <c r="E144" s="20">
        <v>179</v>
      </c>
      <c r="F144" s="21" t="s">
        <v>47</v>
      </c>
      <c r="G144" s="21" t="s">
        <v>48</v>
      </c>
      <c r="H144" s="21" t="s">
        <v>53</v>
      </c>
      <c r="I144" s="22">
        <v>40878</v>
      </c>
    </row>
    <row r="145" spans="1:9" ht="15.6" x14ac:dyDescent="0.3">
      <c r="A145" s="18">
        <v>40852</v>
      </c>
      <c r="B145" s="19" t="s">
        <v>58</v>
      </c>
      <c r="C145" s="19" t="s">
        <v>59</v>
      </c>
      <c r="D145" s="19" t="s">
        <v>60</v>
      </c>
      <c r="E145" s="20">
        <v>340</v>
      </c>
      <c r="F145" s="21" t="s">
        <v>47</v>
      </c>
      <c r="G145" s="21" t="s">
        <v>48</v>
      </c>
      <c r="H145" s="21" t="s">
        <v>61</v>
      </c>
      <c r="I145" s="22">
        <v>40852</v>
      </c>
    </row>
    <row r="146" spans="1:9" ht="15.6" x14ac:dyDescent="0.3">
      <c r="A146" s="18">
        <v>40852</v>
      </c>
      <c r="B146" s="19" t="s">
        <v>129</v>
      </c>
      <c r="C146" s="19" t="s">
        <v>153</v>
      </c>
      <c r="D146" s="19" t="s">
        <v>131</v>
      </c>
      <c r="E146" s="20">
        <v>982</v>
      </c>
      <c r="F146" s="21" t="s">
        <v>47</v>
      </c>
      <c r="G146" s="21" t="s">
        <v>48</v>
      </c>
      <c r="H146" s="21" t="s">
        <v>132</v>
      </c>
      <c r="I146" s="22">
        <v>40882</v>
      </c>
    </row>
    <row r="147" spans="1:9" ht="15.6" x14ac:dyDescent="0.3">
      <c r="A147" s="18">
        <v>40862</v>
      </c>
      <c r="B147" s="19" t="s">
        <v>62</v>
      </c>
      <c r="C147" s="19" t="s">
        <v>63</v>
      </c>
      <c r="D147" s="19" t="s">
        <v>64</v>
      </c>
      <c r="E147" s="20">
        <v>80</v>
      </c>
      <c r="F147" s="21" t="s">
        <v>47</v>
      </c>
      <c r="G147" s="21" t="s">
        <v>48</v>
      </c>
      <c r="H147" s="21" t="s">
        <v>65</v>
      </c>
      <c r="I147" s="22">
        <v>40862</v>
      </c>
    </row>
    <row r="148" spans="1:9" ht="15.6" x14ac:dyDescent="0.3">
      <c r="A148" s="18">
        <v>40862</v>
      </c>
      <c r="B148" s="19" t="s">
        <v>62</v>
      </c>
      <c r="C148" s="19" t="s">
        <v>63</v>
      </c>
      <c r="D148" s="19" t="s">
        <v>64</v>
      </c>
      <c r="E148" s="20">
        <v>35</v>
      </c>
      <c r="F148" s="21" t="s">
        <v>47</v>
      </c>
      <c r="G148" s="21" t="s">
        <v>66</v>
      </c>
      <c r="H148" s="21" t="s">
        <v>65</v>
      </c>
      <c r="I148" s="22">
        <v>40862</v>
      </c>
    </row>
    <row r="149" spans="1:9" ht="15.6" x14ac:dyDescent="0.3">
      <c r="A149" s="18">
        <v>40862</v>
      </c>
      <c r="B149" s="19" t="s">
        <v>67</v>
      </c>
      <c r="C149" s="19" t="s">
        <v>68</v>
      </c>
      <c r="D149" s="19" t="s">
        <v>69</v>
      </c>
      <c r="E149" s="20">
        <v>1000</v>
      </c>
      <c r="F149" s="21" t="s">
        <v>47</v>
      </c>
      <c r="G149" s="21" t="s">
        <v>48</v>
      </c>
      <c r="H149" s="21" t="s">
        <v>70</v>
      </c>
      <c r="I149" s="22">
        <v>40880</v>
      </c>
    </row>
    <row r="150" spans="1:9" ht="15.6" x14ac:dyDescent="0.3">
      <c r="A150" s="18">
        <v>40866</v>
      </c>
      <c r="B150" s="19" t="s">
        <v>71</v>
      </c>
      <c r="C150" s="19" t="s">
        <v>72</v>
      </c>
      <c r="D150" s="19" t="s">
        <v>73</v>
      </c>
      <c r="E150" s="20">
        <v>102</v>
      </c>
      <c r="F150" s="21" t="s">
        <v>47</v>
      </c>
      <c r="G150" s="21" t="s">
        <v>74</v>
      </c>
      <c r="H150" s="21" t="s">
        <v>75</v>
      </c>
      <c r="I150" s="22">
        <v>40866</v>
      </c>
    </row>
    <row r="151" spans="1:9" ht="15.6" x14ac:dyDescent="0.3">
      <c r="A151" s="18">
        <v>40867</v>
      </c>
      <c r="B151" s="19" t="s">
        <v>80</v>
      </c>
      <c r="C151" s="19" t="s">
        <v>81</v>
      </c>
      <c r="D151" s="19" t="s">
        <v>82</v>
      </c>
      <c r="E151" s="20">
        <v>-20000</v>
      </c>
      <c r="F151" s="21" t="s">
        <v>83</v>
      </c>
      <c r="G151" s="21" t="s">
        <v>66</v>
      </c>
      <c r="H151" s="21" t="s">
        <v>84</v>
      </c>
      <c r="I151" s="22">
        <v>40867</v>
      </c>
    </row>
    <row r="152" spans="1:9" ht="15.6" x14ac:dyDescent="0.3">
      <c r="A152" s="18">
        <v>40867</v>
      </c>
      <c r="B152" s="19" t="s">
        <v>80</v>
      </c>
      <c r="C152" s="19" t="s">
        <v>81</v>
      </c>
      <c r="D152" s="19" t="s">
        <v>82</v>
      </c>
      <c r="E152" s="20">
        <v>20000</v>
      </c>
      <c r="F152" s="21" t="s">
        <v>83</v>
      </c>
      <c r="G152" s="21" t="s">
        <v>48</v>
      </c>
      <c r="H152" s="21" t="s">
        <v>84</v>
      </c>
      <c r="I152" s="22">
        <v>40867</v>
      </c>
    </row>
    <row r="153" spans="1:9" ht="15.6" x14ac:dyDescent="0.3">
      <c r="A153" s="18">
        <v>40873</v>
      </c>
      <c r="B153" s="19" t="s">
        <v>80</v>
      </c>
      <c r="C153" s="19" t="s">
        <v>85</v>
      </c>
      <c r="D153" s="19" t="s">
        <v>86</v>
      </c>
      <c r="E153" s="20">
        <v>20000</v>
      </c>
      <c r="F153" s="21" t="s">
        <v>83</v>
      </c>
      <c r="G153" s="21" t="s">
        <v>66</v>
      </c>
      <c r="H153" s="21" t="s">
        <v>87</v>
      </c>
      <c r="I153" s="22">
        <v>40873</v>
      </c>
    </row>
    <row r="154" spans="1:9" ht="15.6" x14ac:dyDescent="0.3">
      <c r="A154" s="18">
        <v>40873</v>
      </c>
      <c r="B154" s="19" t="s">
        <v>88</v>
      </c>
      <c r="C154" s="19" t="s">
        <v>59</v>
      </c>
      <c r="D154" s="19" t="s">
        <v>89</v>
      </c>
      <c r="E154" s="20">
        <v>220</v>
      </c>
      <c r="F154" s="21" t="s">
        <v>83</v>
      </c>
      <c r="G154" s="21" t="s">
        <v>48</v>
      </c>
      <c r="H154" s="21" t="s">
        <v>90</v>
      </c>
      <c r="I154" s="22">
        <v>40873</v>
      </c>
    </row>
    <row r="155" spans="1:9" ht="15.6" x14ac:dyDescent="0.3">
      <c r="A155" s="18">
        <v>40873</v>
      </c>
      <c r="B155" s="19" t="s">
        <v>88</v>
      </c>
      <c r="C155" s="19" t="s">
        <v>59</v>
      </c>
      <c r="D155" s="19" t="s">
        <v>91</v>
      </c>
      <c r="E155" s="20">
        <v>100</v>
      </c>
      <c r="F155" s="21" t="s">
        <v>83</v>
      </c>
      <c r="G155" s="21" t="s">
        <v>48</v>
      </c>
      <c r="H155" s="21" t="s">
        <v>92</v>
      </c>
      <c r="I155" s="22">
        <v>40873</v>
      </c>
    </row>
    <row r="156" spans="1:9" ht="15.6" x14ac:dyDescent="0.3">
      <c r="A156" s="18">
        <v>40873</v>
      </c>
      <c r="B156" s="19" t="s">
        <v>93</v>
      </c>
      <c r="C156" s="19" t="s">
        <v>59</v>
      </c>
      <c r="D156" s="19" t="s">
        <v>94</v>
      </c>
      <c r="E156" s="20">
        <v>6400</v>
      </c>
      <c r="F156" s="21" t="s">
        <v>47</v>
      </c>
      <c r="G156" s="21" t="s">
        <v>48</v>
      </c>
      <c r="H156" s="21" t="s">
        <v>95</v>
      </c>
      <c r="I156" s="22">
        <v>40873</v>
      </c>
    </row>
    <row r="157" spans="1:9" ht="15.6" x14ac:dyDescent="0.3">
      <c r="A157" s="18">
        <v>40877</v>
      </c>
      <c r="B157" s="19" t="s">
        <v>80</v>
      </c>
      <c r="C157" s="19" t="s">
        <v>63</v>
      </c>
      <c r="D157" s="19" t="s">
        <v>96</v>
      </c>
      <c r="E157" s="20">
        <v>170</v>
      </c>
      <c r="F157" s="21" t="s">
        <v>83</v>
      </c>
      <c r="G157" s="21" t="s">
        <v>48</v>
      </c>
      <c r="H157" s="21" t="s">
        <v>84</v>
      </c>
      <c r="I157" s="22">
        <v>40877</v>
      </c>
    </row>
    <row r="158" spans="1:9" ht="15.6" x14ac:dyDescent="0.3">
      <c r="A158" s="18">
        <v>40877</v>
      </c>
      <c r="B158" s="19" t="s">
        <v>80</v>
      </c>
      <c r="C158" s="19" t="s">
        <v>63</v>
      </c>
      <c r="D158" s="19" t="s">
        <v>96</v>
      </c>
      <c r="E158" s="20">
        <v>-170</v>
      </c>
      <c r="F158" s="21" t="s">
        <v>83</v>
      </c>
      <c r="G158" s="21" t="s">
        <v>74</v>
      </c>
      <c r="H158" s="21" t="s">
        <v>84</v>
      </c>
      <c r="I158" s="22">
        <v>40877</v>
      </c>
    </row>
    <row r="159" spans="1:9" ht="15.6" x14ac:dyDescent="0.3">
      <c r="A159" s="18">
        <v>40878</v>
      </c>
      <c r="B159" s="19" t="s">
        <v>50</v>
      </c>
      <c r="C159" s="19" t="s">
        <v>154</v>
      </c>
      <c r="D159" s="19" t="s">
        <v>52</v>
      </c>
      <c r="E159" s="20">
        <v>179</v>
      </c>
      <c r="F159" s="21" t="s">
        <v>47</v>
      </c>
      <c r="G159" s="21" t="s">
        <v>48</v>
      </c>
      <c r="H159" s="21" t="s">
        <v>53</v>
      </c>
      <c r="I159" s="22">
        <v>40908</v>
      </c>
    </row>
    <row r="160" spans="1:9" ht="15.6" x14ac:dyDescent="0.3">
      <c r="A160" s="18">
        <v>40882</v>
      </c>
      <c r="B160" s="19" t="s">
        <v>58</v>
      </c>
      <c r="C160" s="19" t="s">
        <v>59</v>
      </c>
      <c r="D160" s="19" t="s">
        <v>60</v>
      </c>
      <c r="E160" s="20">
        <v>340</v>
      </c>
      <c r="F160" s="21" t="s">
        <v>47</v>
      </c>
      <c r="G160" s="21" t="s">
        <v>48</v>
      </c>
      <c r="H160" s="21" t="s">
        <v>61</v>
      </c>
      <c r="I160" s="22">
        <v>40882</v>
      </c>
    </row>
    <row r="161" spans="1:9" ht="15.6" x14ac:dyDescent="0.3">
      <c r="A161" s="18">
        <v>40883</v>
      </c>
      <c r="B161" s="19" t="s">
        <v>71</v>
      </c>
      <c r="C161" s="19" t="s">
        <v>72</v>
      </c>
      <c r="D161" s="19" t="s">
        <v>73</v>
      </c>
      <c r="E161" s="20">
        <v>96</v>
      </c>
      <c r="F161" s="21" t="s">
        <v>47</v>
      </c>
      <c r="G161" s="21" t="s">
        <v>74</v>
      </c>
      <c r="H161" s="21" t="s">
        <v>75</v>
      </c>
      <c r="I161" s="22">
        <v>40883</v>
      </c>
    </row>
    <row r="162" spans="1:9" ht="15.6" x14ac:dyDescent="0.3">
      <c r="A162" s="18">
        <v>40892</v>
      </c>
      <c r="B162" s="19" t="s">
        <v>62</v>
      </c>
      <c r="C162" s="19" t="s">
        <v>63</v>
      </c>
      <c r="D162" s="19" t="s">
        <v>64</v>
      </c>
      <c r="E162" s="20">
        <v>80</v>
      </c>
      <c r="F162" s="21" t="s">
        <v>47</v>
      </c>
      <c r="G162" s="21" t="s">
        <v>48</v>
      </c>
      <c r="H162" s="21" t="s">
        <v>65</v>
      </c>
      <c r="I162" s="22">
        <v>40892</v>
      </c>
    </row>
    <row r="163" spans="1:9" ht="15.6" x14ac:dyDescent="0.3">
      <c r="A163" s="18">
        <v>40892</v>
      </c>
      <c r="B163" s="19" t="s">
        <v>62</v>
      </c>
      <c r="C163" s="19" t="s">
        <v>63</v>
      </c>
      <c r="D163" s="19" t="s">
        <v>64</v>
      </c>
      <c r="E163" s="20">
        <v>35</v>
      </c>
      <c r="F163" s="21" t="s">
        <v>47</v>
      </c>
      <c r="G163" s="21" t="s">
        <v>66</v>
      </c>
      <c r="H163" s="21" t="s">
        <v>65</v>
      </c>
      <c r="I163" s="22">
        <v>40892</v>
      </c>
    </row>
    <row r="164" spans="1:9" ht="15.6" x14ac:dyDescent="0.3">
      <c r="A164" s="18">
        <v>40892</v>
      </c>
      <c r="B164" s="19" t="s">
        <v>67</v>
      </c>
      <c r="C164" s="19" t="s">
        <v>68</v>
      </c>
      <c r="D164" s="19" t="s">
        <v>69</v>
      </c>
      <c r="E164" s="20">
        <v>1000</v>
      </c>
      <c r="F164" s="21" t="s">
        <v>47</v>
      </c>
      <c r="G164" s="21" t="s">
        <v>48</v>
      </c>
      <c r="H164" s="21" t="s">
        <v>70</v>
      </c>
      <c r="I164" s="22">
        <v>40910</v>
      </c>
    </row>
    <row r="165" spans="1:9" ht="15.6" x14ac:dyDescent="0.3">
      <c r="A165" s="18">
        <v>40894</v>
      </c>
      <c r="B165" s="19" t="s">
        <v>54</v>
      </c>
      <c r="C165" s="19" t="s">
        <v>155</v>
      </c>
      <c r="D165" s="19" t="s">
        <v>56</v>
      </c>
      <c r="E165" s="20">
        <v>120</v>
      </c>
      <c r="F165" s="21" t="s">
        <v>47</v>
      </c>
      <c r="G165" s="21" t="s">
        <v>48</v>
      </c>
      <c r="H165" s="21" t="s">
        <v>57</v>
      </c>
      <c r="I165" s="22">
        <v>40924</v>
      </c>
    </row>
    <row r="166" spans="1:9" ht="15.6" x14ac:dyDescent="0.3">
      <c r="A166" s="18">
        <v>40894</v>
      </c>
      <c r="B166" s="19" t="s">
        <v>116</v>
      </c>
      <c r="C166" s="19" t="s">
        <v>68</v>
      </c>
      <c r="D166" s="19" t="s">
        <v>117</v>
      </c>
      <c r="E166" s="20">
        <v>310</v>
      </c>
      <c r="F166" s="21" t="s">
        <v>47</v>
      </c>
      <c r="G166" s="21" t="s">
        <v>48</v>
      </c>
      <c r="H166" s="21" t="s">
        <v>118</v>
      </c>
      <c r="I166" s="22">
        <v>40924</v>
      </c>
    </row>
    <row r="167" spans="1:9" ht="15.6" x14ac:dyDescent="0.3">
      <c r="A167" s="18">
        <v>40894</v>
      </c>
      <c r="B167" s="19" t="s">
        <v>129</v>
      </c>
      <c r="C167" s="19" t="s">
        <v>156</v>
      </c>
      <c r="D167" s="19" t="s">
        <v>131</v>
      </c>
      <c r="E167" s="20">
        <v>962</v>
      </c>
      <c r="F167" s="21" t="s">
        <v>47</v>
      </c>
      <c r="G167" s="21" t="s">
        <v>48</v>
      </c>
      <c r="H167" s="21" t="s">
        <v>132</v>
      </c>
      <c r="I167" s="22">
        <v>40924</v>
      </c>
    </row>
    <row r="168" spans="1:9" ht="15.6" x14ac:dyDescent="0.3">
      <c r="A168" s="18">
        <v>40897</v>
      </c>
      <c r="B168" s="19" t="s">
        <v>80</v>
      </c>
      <c r="C168" s="19" t="s">
        <v>81</v>
      </c>
      <c r="D168" s="19" t="s">
        <v>82</v>
      </c>
      <c r="E168" s="20">
        <v>-20000</v>
      </c>
      <c r="F168" s="21" t="s">
        <v>83</v>
      </c>
      <c r="G168" s="21" t="s">
        <v>66</v>
      </c>
      <c r="H168" s="21" t="s">
        <v>84</v>
      </c>
      <c r="I168" s="22">
        <v>40897</v>
      </c>
    </row>
    <row r="169" spans="1:9" ht="15.6" x14ac:dyDescent="0.3">
      <c r="A169" s="18">
        <v>40897</v>
      </c>
      <c r="B169" s="19" t="s">
        <v>80</v>
      </c>
      <c r="C169" s="19" t="s">
        <v>81</v>
      </c>
      <c r="D169" s="19" t="s">
        <v>82</v>
      </c>
      <c r="E169" s="20">
        <v>20000</v>
      </c>
      <c r="F169" s="21" t="s">
        <v>83</v>
      </c>
      <c r="G169" s="21" t="s">
        <v>48</v>
      </c>
      <c r="H169" s="21" t="s">
        <v>84</v>
      </c>
      <c r="I169" s="22">
        <v>40897</v>
      </c>
    </row>
    <row r="170" spans="1:9" ht="15.6" x14ac:dyDescent="0.3">
      <c r="A170" s="18">
        <v>40899</v>
      </c>
      <c r="B170" s="19" t="s">
        <v>105</v>
      </c>
      <c r="C170" s="19" t="s">
        <v>157</v>
      </c>
      <c r="D170" s="19" t="s">
        <v>107</v>
      </c>
      <c r="E170" s="20">
        <v>61</v>
      </c>
      <c r="F170" s="21" t="s">
        <v>47</v>
      </c>
      <c r="G170" s="21" t="s">
        <v>74</v>
      </c>
      <c r="H170" s="21" t="s">
        <v>108</v>
      </c>
      <c r="I170" s="22">
        <v>40929</v>
      </c>
    </row>
    <row r="171" spans="1:9" ht="15.6" x14ac:dyDescent="0.3">
      <c r="A171" s="18">
        <v>40902</v>
      </c>
      <c r="B171" s="19" t="s">
        <v>98</v>
      </c>
      <c r="C171" s="19" t="s">
        <v>99</v>
      </c>
      <c r="D171" s="19" t="s">
        <v>100</v>
      </c>
      <c r="E171" s="20">
        <v>8400</v>
      </c>
      <c r="F171" s="21" t="s">
        <v>83</v>
      </c>
      <c r="G171" s="21" t="s">
        <v>48</v>
      </c>
      <c r="H171" s="21" t="s">
        <v>101</v>
      </c>
      <c r="I171" s="22">
        <v>40902</v>
      </c>
    </row>
    <row r="172" spans="1:9" ht="15.6" x14ac:dyDescent="0.3">
      <c r="A172" s="18">
        <v>40903</v>
      </c>
      <c r="B172" s="19" t="s">
        <v>80</v>
      </c>
      <c r="C172" s="19" t="s">
        <v>85</v>
      </c>
      <c r="D172" s="19" t="s">
        <v>86</v>
      </c>
      <c r="E172" s="20">
        <v>20000</v>
      </c>
      <c r="F172" s="21" t="s">
        <v>83</v>
      </c>
      <c r="G172" s="21" t="s">
        <v>66</v>
      </c>
      <c r="H172" s="21" t="s">
        <v>87</v>
      </c>
      <c r="I172" s="22">
        <v>40903</v>
      </c>
    </row>
    <row r="173" spans="1:9" ht="15.6" x14ac:dyDescent="0.3">
      <c r="A173" s="18">
        <v>40903</v>
      </c>
      <c r="B173" s="19" t="s">
        <v>88</v>
      </c>
      <c r="C173" s="19" t="s">
        <v>59</v>
      </c>
      <c r="D173" s="19" t="s">
        <v>89</v>
      </c>
      <c r="E173" s="20">
        <v>220</v>
      </c>
      <c r="F173" s="21" t="s">
        <v>83</v>
      </c>
      <c r="G173" s="21" t="s">
        <v>48</v>
      </c>
      <c r="H173" s="21" t="s">
        <v>90</v>
      </c>
      <c r="I173" s="22">
        <v>40903</v>
      </c>
    </row>
    <row r="174" spans="1:9" ht="15.6" x14ac:dyDescent="0.3">
      <c r="A174" s="18">
        <v>40903</v>
      </c>
      <c r="B174" s="19" t="s">
        <v>88</v>
      </c>
      <c r="C174" s="19" t="s">
        <v>59</v>
      </c>
      <c r="D174" s="19" t="s">
        <v>91</v>
      </c>
      <c r="E174" s="20">
        <v>100</v>
      </c>
      <c r="F174" s="21" t="s">
        <v>83</v>
      </c>
      <c r="G174" s="21" t="s">
        <v>48</v>
      </c>
      <c r="H174" s="21" t="s">
        <v>92</v>
      </c>
      <c r="I174" s="22">
        <v>40903</v>
      </c>
    </row>
    <row r="175" spans="1:9" ht="15.6" x14ac:dyDescent="0.3">
      <c r="A175" s="18">
        <v>40903</v>
      </c>
      <c r="B175" s="19" t="s">
        <v>93</v>
      </c>
      <c r="C175" s="19" t="s">
        <v>59</v>
      </c>
      <c r="D175" s="19" t="s">
        <v>94</v>
      </c>
      <c r="E175" s="20">
        <v>6400</v>
      </c>
      <c r="F175" s="21" t="s">
        <v>47</v>
      </c>
      <c r="G175" s="21" t="s">
        <v>48</v>
      </c>
      <c r="H175" s="21" t="s">
        <v>95</v>
      </c>
      <c r="I175" s="22">
        <v>40903</v>
      </c>
    </row>
    <row r="176" spans="1:9" ht="15.6" x14ac:dyDescent="0.3">
      <c r="A176" s="18">
        <v>40908</v>
      </c>
      <c r="B176" s="19" t="s">
        <v>80</v>
      </c>
      <c r="C176" s="19" t="s">
        <v>63</v>
      </c>
      <c r="D176" s="19" t="s">
        <v>96</v>
      </c>
      <c r="E176" s="20">
        <v>100</v>
      </c>
      <c r="F176" s="21" t="s">
        <v>83</v>
      </c>
      <c r="G176" s="21" t="s">
        <v>48</v>
      </c>
      <c r="H176" s="21" t="s">
        <v>84</v>
      </c>
      <c r="I176" s="22">
        <v>40908</v>
      </c>
    </row>
    <row r="177" spans="1:9" ht="15.6" x14ac:dyDescent="0.3">
      <c r="A177" s="18">
        <v>40908</v>
      </c>
      <c r="B177" s="19" t="s">
        <v>80</v>
      </c>
      <c r="C177" s="19" t="s">
        <v>63</v>
      </c>
      <c r="D177" s="19" t="s">
        <v>96</v>
      </c>
      <c r="E177" s="20">
        <v>-100</v>
      </c>
      <c r="F177" s="21" t="s">
        <v>83</v>
      </c>
      <c r="G177" s="21" t="s">
        <v>74</v>
      </c>
      <c r="H177" s="21" t="s">
        <v>84</v>
      </c>
      <c r="I177" s="22">
        <v>40908</v>
      </c>
    </row>
    <row r="178" spans="1:9" ht="15.6" x14ac:dyDescent="0.3">
      <c r="A178" s="18">
        <v>40909</v>
      </c>
      <c r="B178" s="19" t="s">
        <v>50</v>
      </c>
      <c r="C178" s="19" t="s">
        <v>158</v>
      </c>
      <c r="D178" s="19" t="s">
        <v>52</v>
      </c>
      <c r="E178" s="20">
        <v>179</v>
      </c>
      <c r="F178" s="21" t="s">
        <v>47</v>
      </c>
      <c r="G178" s="21" t="s">
        <v>48</v>
      </c>
      <c r="H178" s="21" t="s">
        <v>53</v>
      </c>
      <c r="I178" s="22">
        <v>40939</v>
      </c>
    </row>
    <row r="179" spans="1:9" ht="15.6" x14ac:dyDescent="0.3">
      <c r="A179" s="18">
        <v>40913</v>
      </c>
      <c r="B179" s="19" t="s">
        <v>58</v>
      </c>
      <c r="C179" s="19" t="s">
        <v>59</v>
      </c>
      <c r="D179" s="19" t="s">
        <v>60</v>
      </c>
      <c r="E179" s="20">
        <v>340</v>
      </c>
      <c r="F179" s="21" t="s">
        <v>47</v>
      </c>
      <c r="G179" s="21" t="s">
        <v>48</v>
      </c>
      <c r="H179" s="21" t="s">
        <v>61</v>
      </c>
      <c r="I179" s="22">
        <v>40913</v>
      </c>
    </row>
    <row r="180" spans="1:9" ht="15.6" x14ac:dyDescent="0.3">
      <c r="A180" s="18">
        <v>40923</v>
      </c>
      <c r="B180" s="19" t="s">
        <v>62</v>
      </c>
      <c r="C180" s="19" t="s">
        <v>63</v>
      </c>
      <c r="D180" s="19" t="s">
        <v>64</v>
      </c>
      <c r="E180" s="20">
        <v>80</v>
      </c>
      <c r="F180" s="21" t="s">
        <v>47</v>
      </c>
      <c r="G180" s="21" t="s">
        <v>48</v>
      </c>
      <c r="H180" s="21" t="s">
        <v>65</v>
      </c>
      <c r="I180" s="22">
        <v>40923</v>
      </c>
    </row>
    <row r="181" spans="1:9" ht="15.6" x14ac:dyDescent="0.3">
      <c r="A181" s="18">
        <v>40923</v>
      </c>
      <c r="B181" s="19" t="s">
        <v>62</v>
      </c>
      <c r="C181" s="19" t="s">
        <v>63</v>
      </c>
      <c r="D181" s="19" t="s">
        <v>64</v>
      </c>
      <c r="E181" s="20">
        <v>35</v>
      </c>
      <c r="F181" s="21" t="s">
        <v>47</v>
      </c>
      <c r="G181" s="21" t="s">
        <v>66</v>
      </c>
      <c r="H181" s="21" t="s">
        <v>65</v>
      </c>
      <c r="I181" s="22">
        <v>40923</v>
      </c>
    </row>
    <row r="182" spans="1:9" ht="15.6" x14ac:dyDescent="0.3">
      <c r="A182" s="18">
        <v>40923</v>
      </c>
      <c r="B182" s="19" t="s">
        <v>67</v>
      </c>
      <c r="C182" s="19" t="s">
        <v>68</v>
      </c>
      <c r="D182" s="19" t="s">
        <v>69</v>
      </c>
      <c r="E182" s="20">
        <v>1000</v>
      </c>
      <c r="F182" s="21" t="s">
        <v>47</v>
      </c>
      <c r="G182" s="21" t="s">
        <v>48</v>
      </c>
      <c r="H182" s="21" t="s">
        <v>70</v>
      </c>
      <c r="I182" s="22">
        <v>40941</v>
      </c>
    </row>
    <row r="183" spans="1:9" ht="15.6" x14ac:dyDescent="0.3">
      <c r="A183" s="18">
        <v>40924</v>
      </c>
      <c r="B183" s="19" t="s">
        <v>71</v>
      </c>
      <c r="C183" s="19" t="s">
        <v>72</v>
      </c>
      <c r="D183" s="19" t="s">
        <v>73</v>
      </c>
      <c r="E183" s="20">
        <v>105</v>
      </c>
      <c r="F183" s="21" t="s">
        <v>47</v>
      </c>
      <c r="G183" s="21" t="s">
        <v>74</v>
      </c>
      <c r="H183" s="21" t="s">
        <v>75</v>
      </c>
      <c r="I183" s="22">
        <v>40924</v>
      </c>
    </row>
    <row r="184" spans="1:9" ht="15.6" x14ac:dyDescent="0.3">
      <c r="A184" s="18">
        <v>40928</v>
      </c>
      <c r="B184" s="19" t="s">
        <v>80</v>
      </c>
      <c r="C184" s="19" t="s">
        <v>81</v>
      </c>
      <c r="D184" s="19" t="s">
        <v>82</v>
      </c>
      <c r="E184" s="20">
        <v>-20000</v>
      </c>
      <c r="F184" s="21" t="s">
        <v>83</v>
      </c>
      <c r="G184" s="21" t="s">
        <v>66</v>
      </c>
      <c r="H184" s="21" t="s">
        <v>84</v>
      </c>
      <c r="I184" s="22">
        <v>40928</v>
      </c>
    </row>
    <row r="185" spans="1:9" ht="15.6" x14ac:dyDescent="0.3">
      <c r="A185" s="18">
        <v>40928</v>
      </c>
      <c r="B185" s="19" t="s">
        <v>80</v>
      </c>
      <c r="C185" s="19" t="s">
        <v>81</v>
      </c>
      <c r="D185" s="19" t="s">
        <v>82</v>
      </c>
      <c r="E185" s="20">
        <v>20000</v>
      </c>
      <c r="F185" s="21" t="s">
        <v>83</v>
      </c>
      <c r="G185" s="21" t="s">
        <v>48</v>
      </c>
      <c r="H185" s="21" t="s">
        <v>84</v>
      </c>
      <c r="I185" s="22">
        <v>40928</v>
      </c>
    </row>
    <row r="186" spans="1:9" ht="15.6" x14ac:dyDescent="0.3">
      <c r="A186" s="18">
        <v>40934</v>
      </c>
      <c r="B186" s="19" t="s">
        <v>80</v>
      </c>
      <c r="C186" s="19" t="s">
        <v>85</v>
      </c>
      <c r="D186" s="19" t="s">
        <v>86</v>
      </c>
      <c r="E186" s="20">
        <v>20000</v>
      </c>
      <c r="F186" s="21" t="s">
        <v>83</v>
      </c>
      <c r="G186" s="21" t="s">
        <v>66</v>
      </c>
      <c r="H186" s="21" t="s">
        <v>87</v>
      </c>
      <c r="I186" s="22">
        <v>40934</v>
      </c>
    </row>
    <row r="187" spans="1:9" ht="15.6" x14ac:dyDescent="0.3">
      <c r="A187" s="18">
        <v>40934</v>
      </c>
      <c r="B187" s="19" t="s">
        <v>88</v>
      </c>
      <c r="C187" s="19" t="s">
        <v>59</v>
      </c>
      <c r="D187" s="19" t="s">
        <v>89</v>
      </c>
      <c r="E187" s="20">
        <v>220</v>
      </c>
      <c r="F187" s="21" t="s">
        <v>83</v>
      </c>
      <c r="G187" s="21" t="s">
        <v>48</v>
      </c>
      <c r="H187" s="21" t="s">
        <v>90</v>
      </c>
      <c r="I187" s="22">
        <v>40934</v>
      </c>
    </row>
    <row r="188" spans="1:9" ht="15.6" x14ac:dyDescent="0.3">
      <c r="A188" s="18">
        <v>40934</v>
      </c>
      <c r="B188" s="19" t="s">
        <v>88</v>
      </c>
      <c r="C188" s="19" t="s">
        <v>59</v>
      </c>
      <c r="D188" s="19" t="s">
        <v>91</v>
      </c>
      <c r="E188" s="20">
        <v>100</v>
      </c>
      <c r="F188" s="21" t="s">
        <v>83</v>
      </c>
      <c r="G188" s="21" t="s">
        <v>48</v>
      </c>
      <c r="H188" s="21" t="s">
        <v>92</v>
      </c>
      <c r="I188" s="22">
        <v>40934</v>
      </c>
    </row>
    <row r="189" spans="1:9" ht="15.6" x14ac:dyDescent="0.3">
      <c r="A189" s="18">
        <v>40934</v>
      </c>
      <c r="B189" s="19" t="s">
        <v>93</v>
      </c>
      <c r="C189" s="19" t="s">
        <v>59</v>
      </c>
      <c r="D189" s="19" t="s">
        <v>94</v>
      </c>
      <c r="E189" s="20">
        <v>6400</v>
      </c>
      <c r="F189" s="21" t="s">
        <v>47</v>
      </c>
      <c r="G189" s="21" t="s">
        <v>48</v>
      </c>
      <c r="H189" s="21" t="s">
        <v>95</v>
      </c>
      <c r="I189" s="22">
        <v>40934</v>
      </c>
    </row>
    <row r="190" spans="1:9" ht="15.6" x14ac:dyDescent="0.3">
      <c r="A190" s="18">
        <v>40934</v>
      </c>
      <c r="B190" s="19" t="s">
        <v>110</v>
      </c>
      <c r="C190" s="19" t="s">
        <v>68</v>
      </c>
      <c r="D190" s="19" t="s">
        <v>159</v>
      </c>
      <c r="E190" s="20">
        <v>389.25</v>
      </c>
      <c r="F190" s="21" t="s">
        <v>47</v>
      </c>
      <c r="G190" s="21" t="s">
        <v>48</v>
      </c>
      <c r="H190" s="21" t="s">
        <v>112</v>
      </c>
      <c r="I190" s="22">
        <v>40939</v>
      </c>
    </row>
    <row r="191" spans="1:9" ht="15.6" x14ac:dyDescent="0.3">
      <c r="A191" s="18">
        <v>40936</v>
      </c>
      <c r="B191" s="19" t="s">
        <v>129</v>
      </c>
      <c r="C191" s="19" t="s">
        <v>160</v>
      </c>
      <c r="D191" s="19" t="s">
        <v>131</v>
      </c>
      <c r="E191" s="20">
        <v>514</v>
      </c>
      <c r="F191" s="21" t="s">
        <v>47</v>
      </c>
      <c r="G191" s="21" t="s">
        <v>48</v>
      </c>
      <c r="H191" s="21" t="s">
        <v>132</v>
      </c>
      <c r="I191" s="22">
        <v>40966</v>
      </c>
    </row>
    <row r="192" spans="1:9" ht="15.6" x14ac:dyDescent="0.3">
      <c r="A192" s="18">
        <v>40939</v>
      </c>
      <c r="B192" s="19" t="s">
        <v>80</v>
      </c>
      <c r="C192" s="19" t="s">
        <v>63</v>
      </c>
      <c r="D192" s="19" t="s">
        <v>96</v>
      </c>
      <c r="E192" s="20">
        <v>170</v>
      </c>
      <c r="F192" s="21" t="s">
        <v>83</v>
      </c>
      <c r="G192" s="21" t="s">
        <v>48</v>
      </c>
      <c r="H192" s="21" t="s">
        <v>84</v>
      </c>
      <c r="I192" s="22">
        <v>40939</v>
      </c>
    </row>
    <row r="193" spans="1:9" ht="15.6" x14ac:dyDescent="0.3">
      <c r="A193" s="18">
        <v>40939</v>
      </c>
      <c r="B193" s="19" t="s">
        <v>80</v>
      </c>
      <c r="C193" s="19" t="s">
        <v>63</v>
      </c>
      <c r="D193" s="19" t="s">
        <v>96</v>
      </c>
      <c r="E193" s="20">
        <v>-170</v>
      </c>
      <c r="F193" s="21" t="s">
        <v>83</v>
      </c>
      <c r="G193" s="21" t="s">
        <v>74</v>
      </c>
      <c r="H193" s="21" t="s">
        <v>84</v>
      </c>
      <c r="I193" s="22">
        <v>40939</v>
      </c>
    </row>
    <row r="194" spans="1:9" ht="15.6" x14ac:dyDescent="0.3">
      <c r="A194" s="18">
        <v>40940</v>
      </c>
      <c r="B194" s="19" t="s">
        <v>50</v>
      </c>
      <c r="C194" s="19" t="s">
        <v>161</v>
      </c>
      <c r="D194" s="19" t="s">
        <v>52</v>
      </c>
      <c r="E194" s="20">
        <v>179</v>
      </c>
      <c r="F194" s="21" t="s">
        <v>47</v>
      </c>
      <c r="G194" s="21" t="s">
        <v>48</v>
      </c>
      <c r="H194" s="21" t="s">
        <v>53</v>
      </c>
      <c r="I194" s="22"/>
    </row>
    <row r="195" spans="1:9" ht="15.6" x14ac:dyDescent="0.3">
      <c r="A195" s="18">
        <v>40944</v>
      </c>
      <c r="B195" s="19" t="s">
        <v>58</v>
      </c>
      <c r="C195" s="19" t="s">
        <v>59</v>
      </c>
      <c r="D195" s="19" t="s">
        <v>60</v>
      </c>
      <c r="E195" s="20">
        <v>340</v>
      </c>
      <c r="F195" s="21" t="s">
        <v>47</v>
      </c>
      <c r="G195" s="21" t="s">
        <v>48</v>
      </c>
      <c r="H195" s="21" t="s">
        <v>61</v>
      </c>
      <c r="I195" s="22">
        <v>40944</v>
      </c>
    </row>
    <row r="196" spans="1:9" ht="15.6" x14ac:dyDescent="0.3">
      <c r="A196" s="18">
        <v>40950</v>
      </c>
      <c r="B196" s="19" t="s">
        <v>116</v>
      </c>
      <c r="C196" s="19" t="s">
        <v>68</v>
      </c>
      <c r="D196" s="19" t="s">
        <v>117</v>
      </c>
      <c r="E196" s="20">
        <v>289</v>
      </c>
      <c r="F196" s="21" t="s">
        <v>47</v>
      </c>
      <c r="G196" s="21" t="s">
        <v>48</v>
      </c>
      <c r="H196" s="21" t="s">
        <v>118</v>
      </c>
      <c r="I196" s="22"/>
    </row>
    <row r="197" spans="1:9" ht="15.6" x14ac:dyDescent="0.3">
      <c r="A197" s="18">
        <v>40954</v>
      </c>
      <c r="B197" s="19" t="s">
        <v>62</v>
      </c>
      <c r="C197" s="19" t="s">
        <v>63</v>
      </c>
      <c r="D197" s="19" t="s">
        <v>64</v>
      </c>
      <c r="E197" s="20">
        <v>80</v>
      </c>
      <c r="F197" s="21" t="s">
        <v>47</v>
      </c>
      <c r="G197" s="21" t="s">
        <v>48</v>
      </c>
      <c r="H197" s="21" t="s">
        <v>65</v>
      </c>
      <c r="I197" s="22">
        <v>40954</v>
      </c>
    </row>
    <row r="198" spans="1:9" ht="15.6" x14ac:dyDescent="0.3">
      <c r="A198" s="18">
        <v>40954</v>
      </c>
      <c r="B198" s="19" t="s">
        <v>62</v>
      </c>
      <c r="C198" s="19" t="s">
        <v>63</v>
      </c>
      <c r="D198" s="19" t="s">
        <v>64</v>
      </c>
      <c r="E198" s="20">
        <v>35</v>
      </c>
      <c r="F198" s="21" t="s">
        <v>47</v>
      </c>
      <c r="G198" s="21" t="s">
        <v>66</v>
      </c>
      <c r="H198" s="21" t="s">
        <v>65</v>
      </c>
      <c r="I198" s="22">
        <v>40954</v>
      </c>
    </row>
    <row r="199" spans="1:9" ht="15.6" x14ac:dyDescent="0.3">
      <c r="A199" s="18">
        <v>40954</v>
      </c>
      <c r="B199" s="19" t="s">
        <v>67</v>
      </c>
      <c r="C199" s="19" t="s">
        <v>68</v>
      </c>
      <c r="D199" s="19" t="s">
        <v>69</v>
      </c>
      <c r="E199" s="20">
        <v>1000</v>
      </c>
      <c r="F199" s="21" t="s">
        <v>47</v>
      </c>
      <c r="G199" s="21" t="s">
        <v>48</v>
      </c>
      <c r="H199" s="21" t="s">
        <v>70</v>
      </c>
      <c r="I199" s="22"/>
    </row>
    <row r="200" spans="1:9" ht="15.6" x14ac:dyDescent="0.3">
      <c r="A200" s="18">
        <v>40959</v>
      </c>
      <c r="B200" s="19" t="s">
        <v>80</v>
      </c>
      <c r="C200" s="19" t="s">
        <v>81</v>
      </c>
      <c r="D200" s="19" t="s">
        <v>82</v>
      </c>
      <c r="E200" s="20">
        <v>-20000</v>
      </c>
      <c r="F200" s="21" t="s">
        <v>83</v>
      </c>
      <c r="G200" s="21" t="s">
        <v>66</v>
      </c>
      <c r="H200" s="21" t="s">
        <v>84</v>
      </c>
      <c r="I200" s="22">
        <v>40959</v>
      </c>
    </row>
    <row r="201" spans="1:9" ht="15.6" x14ac:dyDescent="0.3">
      <c r="A201" s="18">
        <v>40959</v>
      </c>
      <c r="B201" s="19" t="s">
        <v>80</v>
      </c>
      <c r="C201" s="19" t="s">
        <v>81</v>
      </c>
      <c r="D201" s="19" t="s">
        <v>82</v>
      </c>
      <c r="E201" s="20">
        <v>20000</v>
      </c>
      <c r="F201" s="21" t="s">
        <v>83</v>
      </c>
      <c r="G201" s="21" t="s">
        <v>48</v>
      </c>
      <c r="H201" s="21" t="s">
        <v>84</v>
      </c>
      <c r="I201" s="22">
        <v>40959</v>
      </c>
    </row>
    <row r="202" spans="1:9" ht="15.6" x14ac:dyDescent="0.3">
      <c r="A202" s="18">
        <v>40964</v>
      </c>
      <c r="B202" s="19" t="s">
        <v>98</v>
      </c>
      <c r="C202" s="19" t="s">
        <v>99</v>
      </c>
      <c r="D202" s="19" t="s">
        <v>100</v>
      </c>
      <c r="E202" s="20">
        <v>2200</v>
      </c>
      <c r="F202" s="21" t="s">
        <v>83</v>
      </c>
      <c r="G202" s="21" t="s">
        <v>48</v>
      </c>
      <c r="H202" s="21" t="s">
        <v>101</v>
      </c>
      <c r="I202" s="22">
        <v>40964</v>
      </c>
    </row>
    <row r="203" spans="1:9" ht="15.6" x14ac:dyDescent="0.3">
      <c r="A203" s="18">
        <v>40964</v>
      </c>
      <c r="B203" s="19" t="s">
        <v>71</v>
      </c>
      <c r="C203" s="19" t="s">
        <v>72</v>
      </c>
      <c r="D203" s="19" t="s">
        <v>73</v>
      </c>
      <c r="E203" s="20">
        <v>75</v>
      </c>
      <c r="F203" s="21" t="s">
        <v>47</v>
      </c>
      <c r="G203" s="21" t="s">
        <v>74</v>
      </c>
      <c r="H203" s="21" t="s">
        <v>75</v>
      </c>
      <c r="I203" s="22">
        <v>40964</v>
      </c>
    </row>
    <row r="204" spans="1:9" ht="15.6" x14ac:dyDescent="0.3">
      <c r="A204" s="18">
        <v>40965</v>
      </c>
      <c r="B204" s="19" t="s">
        <v>162</v>
      </c>
      <c r="C204" s="19" t="s">
        <v>68</v>
      </c>
      <c r="D204" s="19" t="s">
        <v>163</v>
      </c>
      <c r="E204" s="20">
        <v>10000</v>
      </c>
      <c r="F204" s="21" t="s">
        <v>47</v>
      </c>
      <c r="G204" s="21" t="s">
        <v>48</v>
      </c>
      <c r="H204" s="21" t="s">
        <v>104</v>
      </c>
      <c r="I204" s="22"/>
    </row>
    <row r="205" spans="1:9" ht="15.6" x14ac:dyDescent="0.3">
      <c r="A205" s="18">
        <v>40965</v>
      </c>
      <c r="B205" s="19" t="s">
        <v>80</v>
      </c>
      <c r="C205" s="19" t="s">
        <v>85</v>
      </c>
      <c r="D205" s="19" t="s">
        <v>86</v>
      </c>
      <c r="E205" s="20">
        <v>20000</v>
      </c>
      <c r="F205" s="21" t="s">
        <v>83</v>
      </c>
      <c r="G205" s="21" t="s">
        <v>66</v>
      </c>
      <c r="H205" s="21" t="s">
        <v>87</v>
      </c>
      <c r="I205" s="22">
        <v>40965</v>
      </c>
    </row>
    <row r="206" spans="1:9" ht="15.6" x14ac:dyDescent="0.3">
      <c r="A206" s="18">
        <v>40965</v>
      </c>
      <c r="B206" s="19" t="s">
        <v>88</v>
      </c>
      <c r="C206" s="19" t="s">
        <v>59</v>
      </c>
      <c r="D206" s="19" t="s">
        <v>89</v>
      </c>
      <c r="E206" s="20">
        <v>220</v>
      </c>
      <c r="F206" s="21" t="s">
        <v>83</v>
      </c>
      <c r="G206" s="21" t="s">
        <v>48</v>
      </c>
      <c r="H206" s="21" t="s">
        <v>90</v>
      </c>
      <c r="I206" s="22">
        <v>40965</v>
      </c>
    </row>
    <row r="207" spans="1:9" ht="15.6" x14ac:dyDescent="0.3">
      <c r="A207" s="18">
        <v>40965</v>
      </c>
      <c r="B207" s="19" t="s">
        <v>88</v>
      </c>
      <c r="C207" s="19" t="s">
        <v>59</v>
      </c>
      <c r="D207" s="19" t="s">
        <v>91</v>
      </c>
      <c r="E207" s="20">
        <v>100</v>
      </c>
      <c r="F207" s="21" t="s">
        <v>83</v>
      </c>
      <c r="G207" s="21" t="s">
        <v>48</v>
      </c>
      <c r="H207" s="21" t="s">
        <v>92</v>
      </c>
      <c r="I207" s="22">
        <v>40965</v>
      </c>
    </row>
    <row r="208" spans="1:9" ht="15.6" x14ac:dyDescent="0.3">
      <c r="A208" s="18">
        <v>40965</v>
      </c>
      <c r="B208" s="19" t="s">
        <v>93</v>
      </c>
      <c r="C208" s="19" t="s">
        <v>59</v>
      </c>
      <c r="D208" s="19" t="s">
        <v>94</v>
      </c>
      <c r="E208" s="20">
        <v>6400</v>
      </c>
      <c r="F208" s="21" t="s">
        <v>47</v>
      </c>
      <c r="G208" s="21" t="s">
        <v>48</v>
      </c>
      <c r="H208" s="21" t="s">
        <v>95</v>
      </c>
      <c r="I208" s="22">
        <v>40965</v>
      </c>
    </row>
    <row r="209" spans="1:9" ht="15.6" x14ac:dyDescent="0.3">
      <c r="A209" s="18">
        <v>40968</v>
      </c>
      <c r="B209" s="19" t="s">
        <v>80</v>
      </c>
      <c r="C209" s="19" t="s">
        <v>63</v>
      </c>
      <c r="D209" s="19" t="s">
        <v>96</v>
      </c>
      <c r="E209" s="20">
        <v>70</v>
      </c>
      <c r="F209" s="21" t="s">
        <v>83</v>
      </c>
      <c r="G209" s="21" t="s">
        <v>48</v>
      </c>
      <c r="H209" s="21" t="s">
        <v>84</v>
      </c>
      <c r="I209" s="22">
        <v>40968</v>
      </c>
    </row>
    <row r="210" spans="1:9" ht="15.6" x14ac:dyDescent="0.3">
      <c r="A210" s="18">
        <v>40968</v>
      </c>
      <c r="B210" s="19" t="s">
        <v>80</v>
      </c>
      <c r="C210" s="19" t="s">
        <v>63</v>
      </c>
      <c r="D210" s="19" t="s">
        <v>96</v>
      </c>
      <c r="E210" s="20">
        <v>-70</v>
      </c>
      <c r="F210" s="21" t="s">
        <v>83</v>
      </c>
      <c r="G210" s="21" t="s">
        <v>74</v>
      </c>
      <c r="H210" s="21" t="s">
        <v>84</v>
      </c>
      <c r="I210" s="22">
        <v>40968</v>
      </c>
    </row>
    <row r="211" spans="1:9" ht="15.6" x14ac:dyDescent="0.3">
      <c r="A211" s="18">
        <v>40968</v>
      </c>
      <c r="B211" s="19" t="s">
        <v>98</v>
      </c>
      <c r="C211" s="19" t="s">
        <v>99</v>
      </c>
      <c r="D211" s="19" t="s">
        <v>138</v>
      </c>
      <c r="E211" s="20">
        <v>3700</v>
      </c>
      <c r="F211" s="21" t="s">
        <v>83</v>
      </c>
      <c r="G211" s="21" t="s">
        <v>48</v>
      </c>
      <c r="H211" s="21" t="s">
        <v>139</v>
      </c>
      <c r="I211" s="22">
        <v>40968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6B61-B1EE-4C73-915D-F572B7A15716}">
  <dimension ref="A1"/>
  <sheetViews>
    <sheetView topLeftCell="A4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Roster</vt:lpstr>
      <vt:lpstr>Credit Card Debt</vt:lpstr>
      <vt:lpstr>Expenses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iesha brown</dc:creator>
  <cp:lastModifiedBy>iesha brown</cp:lastModifiedBy>
  <dcterms:created xsi:type="dcterms:W3CDTF">2025-11-01T13:31:58Z</dcterms:created>
  <dcterms:modified xsi:type="dcterms:W3CDTF">2025-11-05T03:07:01Z</dcterms:modified>
</cp:coreProperties>
</file>